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sil_Kullanilir" sheetId="1" state="visible" r:id="rId3"/>
    <sheet name="Dashboard" sheetId="2" state="visible" r:id="rId4"/>
    <sheet name="Oncelik_Listesi" sheetId="3" state="visible" r:id="rId5"/>
    <sheet name="Madde_Magaza" sheetId="4" state="visible" r:id="rId6"/>
    <sheet name="Denetim_Takvimi" sheetId="5" state="visible" r:id="rId7"/>
    <sheet name="Denetimler" sheetId="6" state="visible" r:id="rId8"/>
    <sheet name="Bulgular" sheetId="7" state="visible" r:id="rId9"/>
    <sheet name="DOF_Takip" sheetId="8" state="visible" r:id="rId10"/>
    <sheet name="Ayarlar" sheetId="9" state="visible" r:id="rId11"/>
    <sheet name="Magazalar" sheetId="10" state="visible" r:id="rId12"/>
    <sheet name="Madde_Listesi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<sst xmlns="http://schemas.openxmlformats.org/spreadsheetml/2006/main" count="2110" uniqueCount="293">
  <si>
    <t xml:space="preserve">İç Denetim Standardizasyonu ve Bulgulardan Eğitim Programı</t>
  </si>
  <si>
    <t xml:space="preserve">Tüm mağaza, bulgu ve tarih verileri SAHTEDİR. Orijinal dosyalar paylaşılamadığı için yapı, sistemin nasıl çalıştığı hatırlanarak yeniden kurulmuştur.</t>
  </si>
  <si>
    <t xml:space="preserve">Akış</t>
  </si>
  <si>
    <t xml:space="preserve">1. Denetim_Takvimi: çeyrek bazında karşılıklı iç denetim rotasyonu ve tahmini esas denetim tarihleri. Yakın mağazalar 3 ayda bir birbirini denetler; her müdür uzman olduğu denetim türüne gider.</t>
  </si>
  <si>
    <t xml:space="preserve">2. Denetimler: iç ve esas denetimlerin her biri bir satır. Puan, Bulgular sayfasındaki kayıtlardan hesaplanır.</t>
  </si>
  <si>
    <t xml:space="preserve">3. Bulgular: her uygunsuzluk bir satır; madde kodu seçilir, madde adı ve önem derecesi Madde_Listesi'nden gelir.</t>
  </si>
  <si>
    <t xml:space="preserve">4. DOF_Takip: bulguya bağlı düzeltici-önleyici faaliyet, sorumlu, termin ve kapanış.</t>
  </si>
  <si>
    <t xml:space="preserve">5. Dashboard: mağaza × denetim türü puanları (iç ve esas), iç-esas farkı, gecikmiş DÖF sayısı.</t>
  </si>
  <si>
    <t xml:space="preserve">6. Oncelik_Listesi: en çok tekrar eden uygunsuzluklar, önem derecesiyle ağırlıklı; her maddenin eğitim konusu ve en sık görüldüğü mağaza. Eğitim programı bu listeden hazırlanır.</t>
  </si>
  <si>
    <t xml:space="preserve">7. Madde_Magaza: madde × mağaza tekrar matrisi; hangi mağazada hangi maddenin tekrarlandığını gösterir.</t>
  </si>
  <si>
    <t xml:space="preserve">Puan hesabı</t>
  </si>
  <si>
    <t xml:space="preserve">Ceza = kritik × 2 + major × 1,5 + minör × 1 (katsayılar Ayarlar'da). Puan = (toplam soru − ceza) ÷ toplam soru × 100.</t>
  </si>
  <si>
    <t xml:space="preserve">Kısaltmalar: ASA = genel operasyon denetimi · PAP = kayıp önleme ve çalışan güvence denetimi · RSA = gıda güvenliği denetimi · DÖF = düzeltici ve önleyici faaliyet</t>
  </si>
  <si>
    <t xml:space="preserve">Renk kodu: mavi = girilen değer · sarı zemin = güncellenen hücre · siyah = formül · yeşil = başka sayfadan gelen değer</t>
  </si>
  <si>
    <t xml:space="preserve">Denetim Dashboard</t>
  </si>
  <si>
    <t xml:space="preserve">Puanlar yıl içindeki denetimlerin ortalamasıdır. Fark = iç denetim − esas denetim; büyük pozitif fark iç denetimin gerçeği yansıtmadığına işaret eder.</t>
  </si>
  <si>
    <t xml:space="preserve">Mağaza</t>
  </si>
  <si>
    <t xml:space="preserve">ASA İç</t>
  </si>
  <si>
    <t xml:space="preserve">ASA Esas</t>
  </si>
  <si>
    <t xml:space="preserve">ASA Fark</t>
  </si>
  <si>
    <t xml:space="preserve">PAP İç</t>
  </si>
  <si>
    <t xml:space="preserve">PAP Esas</t>
  </si>
  <si>
    <t xml:space="preserve">PAP Fark</t>
  </si>
  <si>
    <t xml:space="preserve">RSA İç</t>
  </si>
  <si>
    <t xml:space="preserve">RSA Esas</t>
  </si>
  <si>
    <t xml:space="preserve">RSA Fark</t>
  </si>
  <si>
    <t xml:space="preserve">Esas Ortalama</t>
  </si>
  <si>
    <t xml:space="preserve">Sıra</t>
  </si>
  <si>
    <t xml:space="preserve">Toplam Bulgu</t>
  </si>
  <si>
    <t xml:space="preserve">Kritik Bulgu</t>
  </si>
  <si>
    <t xml:space="preserve">Açık DÖF</t>
  </si>
  <si>
    <t xml:space="preserve">Gecikmiş DÖF</t>
  </si>
  <si>
    <t xml:space="preserve">BÖLGE</t>
  </si>
  <si>
    <t xml:space="preserve">Takvim durumu</t>
  </si>
  <si>
    <t xml:space="preserve">Yapılan iç denetim</t>
  </si>
  <si>
    <t xml:space="preserve">Geciken iç denetim</t>
  </si>
  <si>
    <t xml:space="preserve">30 gün içinde iç denetim</t>
  </si>
  <si>
    <t xml:space="preserve">30 gün içinde esas denetim</t>
  </si>
  <si>
    <t xml:space="preserve">Rotasyon uyarısı</t>
  </si>
  <si>
    <t xml:space="preserve">En Sık Tekrar Eden Uygunsuzluklar — Eğitim Önceliği</t>
  </si>
  <si>
    <t xml:space="preserve">Filtre:</t>
  </si>
  <si>
    <t xml:space="preserve">Tümü</t>
  </si>
  <si>
    <t xml:space="preserve">Tümü / ASA / PAP / RSA</t>
  </si>
  <si>
    <t xml:space="preserve">Ağırlıklı skor = bulgu sayısı × önem katsayısı (kritik 2, major 1,5, minör 1). Liste skora göre büyükten küçüğe sıralanır.</t>
  </si>
  <si>
    <t xml:space="preserve">Madde Kodu</t>
  </si>
  <si>
    <t xml:space="preserve">Madde</t>
  </si>
  <si>
    <t xml:space="preserve">Tür</t>
  </si>
  <si>
    <t xml:space="preserve">Önem</t>
  </si>
  <si>
    <t xml:space="preserve">Bulgu (iç)</t>
  </si>
  <si>
    <t xml:space="preserve">Bulgu (esas)</t>
  </si>
  <si>
    <t xml:space="preserve">Ağırlıklı Skor</t>
  </si>
  <si>
    <t xml:space="preserve">Eğitim Konusu</t>
  </si>
  <si>
    <t xml:space="preserve">En Sık Görüldüğü Mağaza</t>
  </si>
  <si>
    <t xml:space="preserve">Satır</t>
  </si>
  <si>
    <t xml:space="preserve">Kod</t>
  </si>
  <si>
    <t xml:space="preserve">Toplam</t>
  </si>
  <si>
    <t xml:space="preserve">Sıralama Anahtarı</t>
  </si>
  <si>
    <t xml:space="preserve">Eğitim konusu bazında toplam</t>
  </si>
  <si>
    <t xml:space="preserve">Bulgu</t>
  </si>
  <si>
    <t xml:space="preserve">Ekipman bakımı</t>
  </si>
  <si>
    <t xml:space="preserve">Eğitim takibi</t>
  </si>
  <si>
    <t xml:space="preserve">Haşere önleme</t>
  </si>
  <si>
    <t xml:space="preserve">Kasa prosedürleri</t>
  </si>
  <si>
    <t xml:space="preserve">Kimyasal güvenliği</t>
  </si>
  <si>
    <t xml:space="preserve">Kişisel hijyen</t>
  </si>
  <si>
    <t xml:space="preserve">Mağaza güvenliği</t>
  </si>
  <si>
    <t xml:space="preserve">Mağaza standartları</t>
  </si>
  <si>
    <t xml:space="preserve">Soğuk zincir ve sıcaklık kontrolü</t>
  </si>
  <si>
    <t xml:space="preserve">Stok ve sipariş yönetimi</t>
  </si>
  <si>
    <t xml:space="preserve">Temizlik ve dezenfeksiyon</t>
  </si>
  <si>
    <t xml:space="preserve">Vardiya planlama</t>
  </si>
  <si>
    <t xml:space="preserve">Ürün hazırlama standartları</t>
  </si>
  <si>
    <t xml:space="preserve">Ürün tarihleme ve etiketleme</t>
  </si>
  <si>
    <t xml:space="preserve">İptal ve iade süreçleri</t>
  </si>
  <si>
    <t xml:space="preserve">Madde \ Mağaza</t>
  </si>
  <si>
    <t xml:space="preserve">Denetim Takvimi</t>
  </si>
  <si>
    <t xml:space="preserve">İç denetim rotasyonu (çeyreklik) — denetçi, denetim türünde uzman olan ve mümkünse aynı yakınlık grubundaki mağazanın müdürüdür.</t>
  </si>
  <si>
    <t xml:space="preserve">Çeyrek</t>
  </si>
  <si>
    <t xml:space="preserve">Denetlenen Mağaza</t>
  </si>
  <si>
    <t xml:space="preserve">Denetim Türü</t>
  </si>
  <si>
    <t xml:space="preserve">Denetçi (Mağaza Müdürü)</t>
  </si>
  <si>
    <t xml:space="preserve">Planlanan Tarih</t>
  </si>
  <si>
    <t xml:space="preserve">Gerçekleşen Tarih</t>
  </si>
  <si>
    <t xml:space="preserve">Durum</t>
  </si>
  <si>
    <t xml:space="preserve">Rotasyon Kontrolü</t>
  </si>
  <si>
    <t xml:space="preserve">Tahmini Esas Denetimler</t>
  </si>
  <si>
    <t xml:space="preserve">2026-Ç1</t>
  </si>
  <si>
    <t xml:space="preserve">Mağaza A</t>
  </si>
  <si>
    <t xml:space="preserve">ASA</t>
  </si>
  <si>
    <t xml:space="preserve">Mağaza B</t>
  </si>
  <si>
    <t xml:space="preserve">Tahmini Tarih</t>
  </si>
  <si>
    <t xml:space="preserve">Kalan Gün</t>
  </si>
  <si>
    <t xml:space="preserve">PAP</t>
  </si>
  <si>
    <t xml:space="preserve">Mağaza C</t>
  </si>
  <si>
    <t xml:space="preserve">RSA</t>
  </si>
  <si>
    <t xml:space="preserve">Mağaza D</t>
  </si>
  <si>
    <t xml:space="preserve">Mağaza G</t>
  </si>
  <si>
    <t xml:space="preserve">Mağaza F</t>
  </si>
  <si>
    <t xml:space="preserve">Mağaza E</t>
  </si>
  <si>
    <t xml:space="preserve">Mağaza H</t>
  </si>
  <si>
    <t xml:space="preserve">2026-Ç2</t>
  </si>
  <si>
    <t xml:space="preserve">2026-Ç3</t>
  </si>
  <si>
    <t xml:space="preserve">2026-Ç4</t>
  </si>
  <si>
    <t xml:space="preserve">Denetim No</t>
  </si>
  <si>
    <t xml:space="preserve">Tarih</t>
  </si>
  <si>
    <t xml:space="preserve">Denetim Tipi</t>
  </si>
  <si>
    <t xml:space="preserve">Denetçi</t>
  </si>
  <si>
    <t xml:space="preserve">Kritik</t>
  </si>
  <si>
    <t xml:space="preserve">Major</t>
  </si>
  <si>
    <t xml:space="preserve">Minör</t>
  </si>
  <si>
    <t xml:space="preserve">Ceza Puanı</t>
  </si>
  <si>
    <t xml:space="preserve">Toplam Soru</t>
  </si>
  <si>
    <t xml:space="preserve">Puan</t>
  </si>
  <si>
    <t xml:space="preserve">Hedef</t>
  </si>
  <si>
    <t xml:space="preserve">D004</t>
  </si>
  <si>
    <t xml:space="preserve">İç denetim</t>
  </si>
  <si>
    <t xml:space="preserve">D018</t>
  </si>
  <si>
    <t xml:space="preserve">D012</t>
  </si>
  <si>
    <t xml:space="preserve">D017</t>
  </si>
  <si>
    <t xml:space="preserve">D003</t>
  </si>
  <si>
    <t xml:space="preserve">D005</t>
  </si>
  <si>
    <t xml:space="preserve">D013</t>
  </si>
  <si>
    <t xml:space="preserve">D001</t>
  </si>
  <si>
    <t xml:space="preserve">D011</t>
  </si>
  <si>
    <t xml:space="preserve">D006</t>
  </si>
  <si>
    <t xml:space="preserve">D022</t>
  </si>
  <si>
    <t xml:space="preserve">D019</t>
  </si>
  <si>
    <t xml:space="preserve">D002</t>
  </si>
  <si>
    <t xml:space="preserve">D020</t>
  </si>
  <si>
    <t xml:space="preserve">D010</t>
  </si>
  <si>
    <t xml:space="preserve">D024</t>
  </si>
  <si>
    <t xml:space="preserve">D008</t>
  </si>
  <si>
    <t xml:space="preserve">D009</t>
  </si>
  <si>
    <t xml:space="preserve">D016</t>
  </si>
  <si>
    <t xml:space="preserve">D015</t>
  </si>
  <si>
    <t xml:space="preserve">D007</t>
  </si>
  <si>
    <t xml:space="preserve">D021</t>
  </si>
  <si>
    <t xml:space="preserve">D023</t>
  </si>
  <si>
    <t xml:space="preserve">D014</t>
  </si>
  <si>
    <t xml:space="preserve">D067</t>
  </si>
  <si>
    <t xml:space="preserve">Esas denetim</t>
  </si>
  <si>
    <t xml:space="preserve">Merkez denetim ekibi</t>
  </si>
  <si>
    <t xml:space="preserve">D085</t>
  </si>
  <si>
    <t xml:space="preserve">D082</t>
  </si>
  <si>
    <t xml:space="preserve">D072</t>
  </si>
  <si>
    <t xml:space="preserve">D084</t>
  </si>
  <si>
    <t xml:space="preserve">D069</t>
  </si>
  <si>
    <t xml:space="preserve">D070</t>
  </si>
  <si>
    <t xml:space="preserve">D027</t>
  </si>
  <si>
    <t xml:space="preserve">D036</t>
  </si>
  <si>
    <t xml:space="preserve">D028</t>
  </si>
  <si>
    <t xml:space="preserve">D026</t>
  </si>
  <si>
    <t xml:space="preserve">D030</t>
  </si>
  <si>
    <t xml:space="preserve">D035</t>
  </si>
  <si>
    <t xml:space="preserve">D042</t>
  </si>
  <si>
    <t xml:space="preserve">D025</t>
  </si>
  <si>
    <t xml:space="preserve">D041</t>
  </si>
  <si>
    <t xml:space="preserve">D046</t>
  </si>
  <si>
    <t xml:space="preserve">D047</t>
  </si>
  <si>
    <t xml:space="preserve">D048</t>
  </si>
  <si>
    <t xml:space="preserve">D077</t>
  </si>
  <si>
    <t xml:space="preserve">D081</t>
  </si>
  <si>
    <t xml:space="preserve">D031</t>
  </si>
  <si>
    <t xml:space="preserve">D034</t>
  </si>
  <si>
    <t xml:space="preserve">D032</t>
  </si>
  <si>
    <t xml:space="preserve">D040</t>
  </si>
  <si>
    <t xml:space="preserve">D045</t>
  </si>
  <si>
    <t xml:space="preserve">D079</t>
  </si>
  <si>
    <t xml:space="preserve">D044</t>
  </si>
  <si>
    <t xml:space="preserve">D065</t>
  </si>
  <si>
    <t xml:space="preserve">D043</t>
  </si>
  <si>
    <t xml:space="preserve">D033</t>
  </si>
  <si>
    <t xml:space="preserve">D071</t>
  </si>
  <si>
    <t xml:space="preserve">D029</t>
  </si>
  <si>
    <t xml:space="preserve">D039</t>
  </si>
  <si>
    <t xml:space="preserve">D037</t>
  </si>
  <si>
    <t xml:space="preserve">D038</t>
  </si>
  <si>
    <t xml:space="preserve">D075</t>
  </si>
  <si>
    <t xml:space="preserve">D066</t>
  </si>
  <si>
    <t xml:space="preserve">D062</t>
  </si>
  <si>
    <t xml:space="preserve">D076</t>
  </si>
  <si>
    <t xml:space="preserve">D068</t>
  </si>
  <si>
    <t xml:space="preserve">D078</t>
  </si>
  <si>
    <t xml:space="preserve">D074</t>
  </si>
  <si>
    <t xml:space="preserve">D080</t>
  </si>
  <si>
    <t xml:space="preserve">D054</t>
  </si>
  <si>
    <t xml:space="preserve">D053</t>
  </si>
  <si>
    <t xml:space="preserve">D057</t>
  </si>
  <si>
    <t xml:space="preserve">D052</t>
  </si>
  <si>
    <t xml:space="preserve">D049</t>
  </si>
  <si>
    <t xml:space="preserve">D059</t>
  </si>
  <si>
    <t xml:space="preserve">D050</t>
  </si>
  <si>
    <t xml:space="preserve">D063</t>
  </si>
  <si>
    <t xml:space="preserve">D064</t>
  </si>
  <si>
    <t xml:space="preserve">D061</t>
  </si>
  <si>
    <t xml:space="preserve">D083</t>
  </si>
  <si>
    <t xml:space="preserve">D055</t>
  </si>
  <si>
    <t xml:space="preserve">D073</t>
  </si>
  <si>
    <t xml:space="preserve">D056</t>
  </si>
  <si>
    <t xml:space="preserve">D058</t>
  </si>
  <si>
    <t xml:space="preserve">D051</t>
  </si>
  <si>
    <t xml:space="preserve">D060</t>
  </si>
  <si>
    <t xml:space="preserve">Açıklama</t>
  </si>
  <si>
    <t xml:space="preserve">Kategori</t>
  </si>
  <si>
    <t xml:space="preserve">Önem Derecesi</t>
  </si>
  <si>
    <t xml:space="preserve">A-3.2</t>
  </si>
  <si>
    <t xml:space="preserve">Örnek bulgu açıklaması</t>
  </si>
  <si>
    <t xml:space="preserve">A-1.1</t>
  </si>
  <si>
    <t xml:space="preserve">A-2.1</t>
  </si>
  <si>
    <t xml:space="preserve">A-2.2</t>
  </si>
  <si>
    <t xml:space="preserve">R-4.3</t>
  </si>
  <si>
    <t xml:space="preserve">R-3.1</t>
  </si>
  <si>
    <t xml:space="preserve">R-4.2</t>
  </si>
  <si>
    <t xml:space="preserve">R-2.1</t>
  </si>
  <si>
    <t xml:space="preserve">R-2.2</t>
  </si>
  <si>
    <t xml:space="preserve">A-3.1</t>
  </si>
  <si>
    <t xml:space="preserve">A-1.2</t>
  </si>
  <si>
    <t xml:space="preserve">P-3.2</t>
  </si>
  <si>
    <t xml:space="preserve">P-3.1</t>
  </si>
  <si>
    <t xml:space="preserve">R-3.2</t>
  </si>
  <si>
    <t xml:space="preserve">A-4.1</t>
  </si>
  <si>
    <t xml:space="preserve">P-1.2</t>
  </si>
  <si>
    <t xml:space="preserve">R-1.2</t>
  </si>
  <si>
    <t xml:space="preserve">R-4.1</t>
  </si>
  <si>
    <t xml:space="preserve">P-2.1</t>
  </si>
  <si>
    <t xml:space="preserve">P-4.1</t>
  </si>
  <si>
    <t xml:space="preserve">P-1.1</t>
  </si>
  <si>
    <t xml:space="preserve">R-4.4</t>
  </si>
  <si>
    <t xml:space="preserve">P-2.2</t>
  </si>
  <si>
    <t xml:space="preserve">Düzeltici / Önleyici Faaliyet</t>
  </si>
  <si>
    <t xml:space="preserve">Sorumlu</t>
  </si>
  <si>
    <t xml:space="preserve">Termin</t>
  </si>
  <si>
    <t xml:space="preserve">Kapanış Tarihi</t>
  </si>
  <si>
    <t xml:space="preserve">Gecikme (gün)</t>
  </si>
  <si>
    <t xml:space="preserve">Haftalık sayım kontrolü müdür yardımcısına verildi</t>
  </si>
  <si>
    <t xml:space="preserve">Müdür yardımcısı</t>
  </si>
  <si>
    <t xml:space="preserve">Vardiya planı yoğunluk raporuna göre yeniden kuruldu</t>
  </si>
  <si>
    <t xml:space="preserve">Vardiya sorumlusu</t>
  </si>
  <si>
    <t xml:space="preserve">Kimyasal dolabı ayrıldı, etiketler yenilendi</t>
  </si>
  <si>
    <t xml:space="preserve">Sıcaklık kayıt çizelgesi vardiya devir listesine eklendi</t>
  </si>
  <si>
    <t xml:space="preserve">Mağaza müdürü</t>
  </si>
  <si>
    <t xml:space="preserve">Tarih etiketleme eğitimi tekrarlandı</t>
  </si>
  <si>
    <t xml:space="preserve">Kasa farkı formu her kapanışta imzalanıyor</t>
  </si>
  <si>
    <t xml:space="preserve">Ayarlar</t>
  </si>
  <si>
    <t xml:space="preserve">Bugünün tarihi</t>
  </si>
  <si>
    <t xml:space="preserve">Gecikme ve yaklaşan denetim hesabı için. Gerçek kullanımda =TODAY() yazılabilir.</t>
  </si>
  <si>
    <t xml:space="preserve">Ceza Katsayısı</t>
  </si>
  <si>
    <t xml:space="preserve">Hedef Puan</t>
  </si>
  <si>
    <t xml:space="preserve">Genel operasyon denetimi</t>
  </si>
  <si>
    <t xml:space="preserve">Kayıp önleme ve çalışan güvence denetimi</t>
  </si>
  <si>
    <t xml:space="preserve">Gıda güvenliği denetimi</t>
  </si>
  <si>
    <t xml:space="preserve">Yaklaşan denetim uyarısı (gün)</t>
  </si>
  <si>
    <t xml:space="preserve">RSA soru sayısı orijinal dosyadaki soru dağılımından; ASA ve PAP soru sayıları örnektir.</t>
  </si>
  <si>
    <t xml:space="preserve">Yakınlık Grubu</t>
  </si>
  <si>
    <t xml:space="preserve">Müdürün Uzman Olduğu Denetim</t>
  </si>
  <si>
    <t xml:space="preserve">Grup 1</t>
  </si>
  <si>
    <t xml:space="preserve">Grup 2</t>
  </si>
  <si>
    <t xml:space="preserve">Grup 3</t>
  </si>
  <si>
    <t xml:space="preserve">Çalışan takı ve kişisel hijyen kurallarına uyuyor</t>
  </si>
  <si>
    <t xml:space="preserve">Partner</t>
  </si>
  <si>
    <t xml:space="preserve">Soğutucular uygun sıcaklıkta</t>
  </si>
  <si>
    <t xml:space="preserve">Sıcaklık</t>
  </si>
  <si>
    <t xml:space="preserve">Sıcaklık kayıtları tam ve zamanında tutulmuş</t>
  </si>
  <si>
    <t xml:space="preserve">Haşere girişini önleyen önlemler yerinde</t>
  </si>
  <si>
    <t xml:space="preserve">Haşere</t>
  </si>
  <si>
    <t xml:space="preserve">Depo ve arka alan duvar, zemin ve tavanları temiz ve sağlam</t>
  </si>
  <si>
    <t xml:space="preserve">Ürünlerin son kullanma tarihleri geçerli ve etiketli</t>
  </si>
  <si>
    <t xml:space="preserve">Bulaşma</t>
  </si>
  <si>
    <t xml:space="preserve">Gıdayla temas eden yüzeyler temiz ve dezenfekte</t>
  </si>
  <si>
    <t xml:space="preserve">Kimyasallar etiketli ve gıdadan ayrı saklanıyor</t>
  </si>
  <si>
    <t xml:space="preserve">Dezenfektan konsantrasyonu test şeridiyle kontrol ediliyor</t>
  </si>
  <si>
    <t xml:space="preserve">Vardiya planı yoğunluğa uygun hazırlanmış</t>
  </si>
  <si>
    <t xml:space="preserve">Operasyon</t>
  </si>
  <si>
    <t xml:space="preserve">Kasa açılış-kapanış prosedürü uygulanıyor</t>
  </si>
  <si>
    <t xml:space="preserve">Salon ve misafir alanı temiz ve düzenli</t>
  </si>
  <si>
    <t xml:space="preserve">Misafir deneyimi</t>
  </si>
  <si>
    <t xml:space="preserve">Ürün sunumu marka standartlarına uygun</t>
  </si>
  <si>
    <t xml:space="preserve">Ekipman bakım kayıtları güncel</t>
  </si>
  <si>
    <t xml:space="preserve">Ekipman</t>
  </si>
  <si>
    <t xml:space="preserve">Stok sayımı ve sipariş kayıtları tutarlı</t>
  </si>
  <si>
    <t xml:space="preserve">Stok</t>
  </si>
  <si>
    <t xml:space="preserve">Zorunlu eğitimler tamamlanmış</t>
  </si>
  <si>
    <t xml:space="preserve">Ekip</t>
  </si>
  <si>
    <t xml:space="preserve">Kasa farkları kayıt altına alınmış ve açıklanmış</t>
  </si>
  <si>
    <t xml:space="preserve">Nakit</t>
  </si>
  <si>
    <t xml:space="preserve">Kasa limitinin üzerindeki nakit zamanında kasaya aktarılıyor</t>
  </si>
  <si>
    <t xml:space="preserve">İptal ve iade işlemleri yönetici onaylı</t>
  </si>
  <si>
    <t xml:space="preserve">İşlem</t>
  </si>
  <si>
    <t xml:space="preserve">Personel indirimleri kurala uygun kullanılıyor</t>
  </si>
  <si>
    <t xml:space="preserve">Depo ve kasa anahtarları yetkili kişide</t>
  </si>
  <si>
    <t xml:space="preserve">Güvenlik</t>
  </si>
  <si>
    <t xml:space="preserve">Kamera kayıtları erişilebilir ve süresi uygun</t>
  </si>
  <si>
    <t xml:space="preserve">Fire ve zayi kayıtları belgeli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</si>
</sst>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\+0.0;\-0.0;0.0"/>
    <numFmt numFmtId="167" formatCode="General"/>
    <numFmt numFmtId="168" formatCode="dd\.mm\.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i val="true"/>
      <sz val="10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7E2"/>
        <bgColor rgb="FFD9EAD3"/>
      </patternFill>
    </fill>
    <fill>
      <patternFill patternType="solid">
        <fgColor rgb="FFF3F3F3"/>
        <bgColor rgb="FFDDE7E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4CCCC"/>
        </patternFill>
      </fill>
    </dxf>
    <dxf>
      <fill>
        <patternFill>
          <bgColor rgb="FFD9EAD3"/>
        </patternFill>
      </fill>
    </dxf>
    <dxf>
      <fill>
        <patternFill>
          <bgColor rgb="FFFCE5CD"/>
        </patternFill>
      </fill>
    </dxf>
  </dxfs>
  <colors>
    <indexedColors>
      <rgbColor rgb="FF000000"/>
      <rgbColor rgb="FFF3F3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CE5CD"/>
      <rgbColor rgb="FFDDE7E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4F81BD"/>
      <rgbColor rgb="FF33CCCC"/>
      <rgbColor rgb="FF9BBB59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Esas denetim puanları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Dashboard!C4</c:f>
              <c:strCache>
                <c:ptCount val="1"/>
                <c:pt idx="0">
                  <c:v>ASA Esas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Dashboard!$A$5:$A$12</c:f>
              <c:strCache>
                <c:ptCount val="8"/>
                <c:pt idx="0">
                  <c:v>Mağaza A</c:v>
                </c:pt>
                <c:pt idx="1">
                  <c:v>Mağaza B</c:v>
                </c:pt>
                <c:pt idx="2">
                  <c:v>Mağaza C</c:v>
                </c:pt>
                <c:pt idx="3">
                  <c:v>Mağaza D</c:v>
                </c:pt>
                <c:pt idx="4">
                  <c:v>Mağaza E</c:v>
                </c:pt>
                <c:pt idx="5">
                  <c:v>Mağaza F</c:v>
                </c:pt>
                <c:pt idx="6">
                  <c:v>Mağaza G</c:v>
                </c:pt>
                <c:pt idx="7">
                  <c:v>Mağaza H</c:v>
                </c:pt>
              </c:strCache>
            </c:strRef>
          </c:cat>
          <c:val>
            <c:numRef>
              <c:f>Dashboard!$C$5:$C$12</c:f>
              <c:numCache>
                <c:formatCode>0.0</c:formatCode>
                <c:ptCount val="8"/>
                <c:pt idx="0">
                  <c:v>86.25</c:v>
                </c:pt>
                <c:pt idx="1">
                  <c:v>96.25</c:v>
                </c:pt>
                <c:pt idx="2">
                  <c:v>96.25</c:v>
                </c:pt>
                <c:pt idx="3">
                  <c:v>96.25</c:v>
                </c:pt>
                <c:pt idx="4">
                  <c:v>83.75</c:v>
                </c:pt>
                <c:pt idx="5">
                  <c:v>72.5</c:v>
                </c:pt>
                <c:pt idx="6">
                  <c:v>92.5</c:v>
                </c:pt>
                <c:pt idx="7">
                  <c:v>82.5</c:v>
                </c:pt>
              </c:numCache>
            </c:numRef>
          </c:val>
        </c:ser>
        <c:ser>
          <c:idx val="1"/>
          <c:order val="1"/>
          <c:tx>
            <c:strRef>
              <c:f>Dashboard!F4</c:f>
              <c:strCache>
                <c:ptCount val="1"/>
                <c:pt idx="0">
                  <c:v>PAP Esas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Dashboard!$A$5:$A$12</c:f>
              <c:strCache>
                <c:ptCount val="8"/>
                <c:pt idx="0">
                  <c:v>Mağaza A</c:v>
                </c:pt>
                <c:pt idx="1">
                  <c:v>Mağaza B</c:v>
                </c:pt>
                <c:pt idx="2">
                  <c:v>Mağaza C</c:v>
                </c:pt>
                <c:pt idx="3">
                  <c:v>Mağaza D</c:v>
                </c:pt>
                <c:pt idx="4">
                  <c:v>Mağaza E</c:v>
                </c:pt>
                <c:pt idx="5">
                  <c:v>Mağaza F</c:v>
                </c:pt>
                <c:pt idx="6">
                  <c:v>Mağaza G</c:v>
                </c:pt>
                <c:pt idx="7">
                  <c:v>Mağaza H</c:v>
                </c:pt>
              </c:strCache>
            </c:strRef>
          </c:cat>
          <c:val>
            <c:numRef>
              <c:f>Dashboard!$F$5:$F$12</c:f>
              <c:numCache>
                <c:formatCode>0.0</c:formatCode>
                <c:ptCount val="8"/>
                <c:pt idx="0">
                  <c:v>90</c:v>
                </c:pt>
                <c:pt idx="1">
                  <c:v>88.3333333333333</c:v>
                </c:pt>
                <c:pt idx="2">
                  <c:v>91.6666666666667</c:v>
                </c:pt>
                <c:pt idx="3">
                  <c:v>75</c:v>
                </c:pt>
                <c:pt idx="4">
                  <c:v>78.3333333333333</c:v>
                </c:pt>
                <c:pt idx="5">
                  <c:v>80</c:v>
                </c:pt>
                <c:pt idx="6">
                  <c:v>65</c:v>
                </c:pt>
                <c:pt idx="7">
                  <c:v>78.3333333333333</c:v>
                </c:pt>
              </c:numCache>
            </c:numRef>
          </c:val>
        </c:ser>
        <c:ser>
          <c:idx val="2"/>
          <c:order val="2"/>
          <c:tx>
            <c:strRef>
              <c:f>Dashboard!I4</c:f>
              <c:strCache>
                <c:ptCount val="1"/>
                <c:pt idx="0">
                  <c:v>RSA Esas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Dashboard!$A$5:$A$12</c:f>
              <c:strCache>
                <c:ptCount val="8"/>
                <c:pt idx="0">
                  <c:v>Mağaza A</c:v>
                </c:pt>
                <c:pt idx="1">
                  <c:v>Mağaza B</c:v>
                </c:pt>
                <c:pt idx="2">
                  <c:v>Mağaza C</c:v>
                </c:pt>
                <c:pt idx="3">
                  <c:v>Mağaza D</c:v>
                </c:pt>
                <c:pt idx="4">
                  <c:v>Mağaza E</c:v>
                </c:pt>
                <c:pt idx="5">
                  <c:v>Mağaza F</c:v>
                </c:pt>
                <c:pt idx="6">
                  <c:v>Mağaza G</c:v>
                </c:pt>
                <c:pt idx="7">
                  <c:v>Mağaza H</c:v>
                </c:pt>
              </c:strCache>
            </c:strRef>
          </c:cat>
          <c:val>
            <c:numRef>
              <c:f>Dashboard!$I$5:$I$12</c:f>
              <c:numCache>
                <c:formatCode>0.0</c:formatCode>
                <c:ptCount val="8"/>
                <c:pt idx="0">
                  <c:v>92.3076923076923</c:v>
                </c:pt>
                <c:pt idx="1">
                  <c:v>98.3516483516484</c:v>
                </c:pt>
                <c:pt idx="2">
                  <c:v>96.7032967032967</c:v>
                </c:pt>
                <c:pt idx="3">
                  <c:v>96.1538461538462</c:v>
                </c:pt>
                <c:pt idx="4">
                  <c:v>91.2087912087912</c:v>
                </c:pt>
                <c:pt idx="5">
                  <c:v>98.3516483516484</c:v>
                </c:pt>
                <c:pt idx="6">
                  <c:v>92.8571428571429</c:v>
                </c:pt>
                <c:pt idx="7">
                  <c:v>92.8571428571429</c:v>
                </c:pt>
              </c:numCache>
            </c:numRef>
          </c:val>
        </c:ser>
        <c:gapWidth val="150"/>
        <c:overlap val="0"/>
        <c:axId val="61093480"/>
        <c:axId val="33726178"/>
      </c:barChart>
      <c:catAx>
        <c:axId val="61093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726178"/>
        <c:crosses val="autoZero"/>
        <c:auto val="1"/>
        <c:lblAlgn val="ctr"/>
        <c:lblOffset val="100"/>
        <c:noMultiLvlLbl val="0"/>
      </c:catAx>
      <c:valAx>
        <c:axId val="33726178"/>
        <c:scaling>
          <c:orientation val="minMax"/>
          <c:max val="100"/>
          <c:min val="6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09348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Eğitim konularına göre ağırlıklı bulgu skoru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Oncelik_Listesi!E24</c:f>
              <c:strCache>
                <c:ptCount val="1"/>
                <c:pt idx="0">
                  <c:v>Ağırlıklı Skor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Oncelik_Listesi!$B$25:$B$39</c:f>
              <c:strCache>
                <c:ptCount val="15"/>
                <c:pt idx="0">
                  <c:v>Ekipman bakımı</c:v>
                </c:pt>
                <c:pt idx="1">
                  <c:v>Eğitim takibi</c:v>
                </c:pt>
                <c:pt idx="2">
                  <c:v>Haşere önleme</c:v>
                </c:pt>
                <c:pt idx="3">
                  <c:v>Kasa prosedürleri</c:v>
                </c:pt>
                <c:pt idx="4">
                  <c:v>Kimyasal güvenliği</c:v>
                </c:pt>
                <c:pt idx="5">
                  <c:v>Kişisel hijyen</c:v>
                </c:pt>
                <c:pt idx="6">
                  <c:v>Mağaza güvenliği</c:v>
                </c:pt>
                <c:pt idx="7">
                  <c:v>Mağaza standartları</c:v>
                </c:pt>
                <c:pt idx="8">
                  <c:v>Soğuk zincir ve sıcaklık kontrolü</c:v>
                </c:pt>
                <c:pt idx="9">
                  <c:v>Stok ve sipariş yönetimi</c:v>
                </c:pt>
                <c:pt idx="10">
                  <c:v>Temizlik ve dezenfeksiyon</c:v>
                </c:pt>
                <c:pt idx="11">
                  <c:v>Vardiya planlama</c:v>
                </c:pt>
                <c:pt idx="12">
                  <c:v>Ürün hazırlama standartları</c:v>
                </c:pt>
                <c:pt idx="13">
                  <c:v>Ürün tarihleme ve etiketleme</c:v>
                </c:pt>
                <c:pt idx="14">
                  <c:v>İptal ve iade süreçleri</c:v>
                </c:pt>
              </c:strCache>
            </c:strRef>
          </c:cat>
          <c:val>
            <c:numRef>
              <c:f>Oncelik_Listesi!$E$25:$E$39</c:f>
              <c:numCache>
                <c:formatCode>0.0</c:formatCode>
                <c:ptCount val="15"/>
                <c:pt idx="0">
                  <c:v>8</c:v>
                </c:pt>
                <c:pt idx="1">
                  <c:v>15</c:v>
                </c:pt>
                <c:pt idx="2">
                  <c:v>9</c:v>
                </c:pt>
                <c:pt idx="3">
                  <c:v>75.5</c:v>
                </c:pt>
                <c:pt idx="4">
                  <c:v>27</c:v>
                </c:pt>
                <c:pt idx="5">
                  <c:v>16.5</c:v>
                </c:pt>
                <c:pt idx="6">
                  <c:v>37.5</c:v>
                </c:pt>
                <c:pt idx="7">
                  <c:v>8</c:v>
                </c:pt>
                <c:pt idx="8">
                  <c:v>57</c:v>
                </c:pt>
                <c:pt idx="9">
                  <c:v>58.5</c:v>
                </c:pt>
                <c:pt idx="10">
                  <c:v>9.5</c:v>
                </c:pt>
                <c:pt idx="11">
                  <c:v>24</c:v>
                </c:pt>
                <c:pt idx="12">
                  <c:v>3</c:v>
                </c:pt>
                <c:pt idx="13">
                  <c:v>24</c:v>
                </c:pt>
                <c:pt idx="14">
                  <c:v>33.5</c:v>
                </c:pt>
              </c:numCache>
            </c:numRef>
          </c:val>
        </c:ser>
        <c:gapWidth val="150"/>
        <c:overlap val="0"/>
        <c:axId val="41761042"/>
        <c:axId val="2866044"/>
      </c:barChart>
      <c:catAx>
        <c:axId val="417610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66044"/>
        <c:crosses val="autoZero"/>
        <c:auto val="1"/>
        <c:lblAlgn val="ctr"/>
        <c:lblOffset val="100"/>
        <c:noMultiLvlLbl val="0"/>
      </c:catAx>
      <c:valAx>
        <c:axId val="28660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7610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13</xdr:row>
      <xdr:rowOff>175680</xdr:rowOff>
    </xdr:from>
    <xdr:to>
      <xdr:col>14</xdr:col>
      <xdr:colOff>339840</xdr:colOff>
      <xdr:row>28</xdr:row>
      <xdr:rowOff>18000</xdr:rowOff>
    </xdr:to>
    <xdr:graphicFrame>
      <xdr:nvGraphicFramePr>
        <xdr:cNvPr id="0" name="Chart 1"/>
        <xdr:cNvGraphicFramePr/>
      </xdr:nvGraphicFramePr>
      <xdr:xfrm>
        <a:off x="3242160" y="2876400"/>
        <a:ext cx="61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21</xdr:row>
      <xdr:rowOff>176040</xdr:rowOff>
    </xdr:from>
    <xdr:to>
      <xdr:col>12</xdr:col>
      <xdr:colOff>496080</xdr:colOff>
      <xdr:row>36</xdr:row>
      <xdr:rowOff>7560</xdr:rowOff>
    </xdr:to>
    <xdr:graphicFrame>
      <xdr:nvGraphicFramePr>
        <xdr:cNvPr id="1" name="Chart 1"/>
        <xdr:cNvGraphicFramePr/>
      </xdr:nvGraphicFramePr>
      <xdr:xfrm>
        <a:off x="6273000" y="438156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 t="s">
        <v>9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/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0" min="2" style="0" width="8"/>
    <col collapsed="false" customWidth="true" hidden="false" outlineLevel="0" max="11" min="11" style="0" width="10"/>
    <col collapsed="false" customWidth="true" hidden="false" outlineLevel="0" max="12" min="12" style="0" width="6"/>
    <col collapsed="false" customWidth="true" hidden="false" outlineLevel="0" max="15" min="13" style="0" width="9"/>
    <col collapsed="false" customWidth="true" hidden="false" outlineLevel="0" max="16" min="16" style="0" width="10"/>
  </cols>
  <sheetData>
    <row r="1" customFormat="false" ht="16.15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15</v>
      </c>
    </row>
    <row r="4" customFormat="false" ht="31.5" hidden="false" customHeight="true" outlineLevel="0" collapsed="false">
      <c r="A4" s="5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  <c r="G4" s="5" t="s">
        <v>22</v>
      </c>
      <c r="H4" s="5" t="s">
        <v>23</v>
      </c>
      <c r="I4" s="5" t="s">
        <v>24</v>
      </c>
      <c r="J4" s="5" t="s">
        <v>25</v>
      </c>
      <c r="K4" s="5" t="s">
        <v>26</v>
      </c>
      <c r="L4" s="5" t="s">
        <v>27</v>
      </c>
      <c r="M4" s="5" t="s">
        <v>28</v>
      </c>
      <c r="N4" s="5" t="s">
        <v>29</v>
      </c>
      <c r="O4" s="5" t="s">
        <v>30</v>
      </c>
      <c r="P4" s="5" t="s">
        <v>31</v>
      </c>
    </row>
    <row r="5" customFormat="false" ht="15" hidden="false" customHeight="false" outlineLevel="0" collapsed="false">
      <c r="A5" s="6" t="str">
        <f aca="false">Magazalar!A2</f>
        <v>Mağaza A</v>
      </c>
      <c r="B5" s="7" t="n">
        <f aca="false">IFERROR(AVERAGEIFS(Denetimler!$L$2:$L$286,Denetimler!$C$2:$C$286,$A5,Denetimler!$D$2:$D$286,"ASA",Denetimler!$E$2:$E$286,"İç denetim"),"")</f>
        <v>89.375</v>
      </c>
      <c r="C5" s="7" t="n">
        <f aca="false">IFERROR(AVERAGEIFS(Denetimler!$L$2:$L$286,Denetimler!$C$2:$C$286,$A5,Denetimler!$D$2:$D$286,"ASA",Denetimler!$E$2:$E$286,"Esas denetim"),"")</f>
        <v>86.25</v>
      </c>
      <c r="D5" s="8" t="n">
        <f aca="false">IF(OR(B5="",C5=""),"",B5-C5)</f>
        <v>3.125</v>
      </c>
      <c r="E5" s="7" t="n">
        <f aca="false">IFERROR(AVERAGEIFS(Denetimler!$L$2:$L$286,Denetimler!$C$2:$C$286,$A5,Denetimler!$D$2:$D$286,"PAP",Denetimler!$E$2:$E$286,"İç denetim"),"")</f>
        <v>96.1111111111111</v>
      </c>
      <c r="F5" s="7" t="n">
        <f aca="false">IFERROR(AVERAGEIFS(Denetimler!$L$2:$L$286,Denetimler!$C$2:$C$286,$A5,Denetimler!$D$2:$D$286,"PAP",Denetimler!$E$2:$E$286,"Esas denetim"),"")</f>
        <v>90</v>
      </c>
      <c r="G5" s="8" t="n">
        <f aca="false">IF(OR(E5="",F5=""),"",E5-F5)</f>
        <v>6.1111111111111</v>
      </c>
      <c r="H5" s="7" t="n">
        <f aca="false">IFERROR(AVERAGEIFS(Denetimler!$L$2:$L$286,Denetimler!$C$2:$C$286,$A5,Denetimler!$D$2:$D$286,"RSA",Denetimler!$E$2:$E$286,"İç denetim"),"")</f>
        <v>92.032967032967</v>
      </c>
      <c r="I5" s="7" t="n">
        <f aca="false">IFERROR(AVERAGEIFS(Denetimler!$L$2:$L$286,Denetimler!$C$2:$C$286,$A5,Denetimler!$D$2:$D$286,"RSA",Denetimler!$E$2:$E$286,"Esas denetim"),"")</f>
        <v>92.3076923076923</v>
      </c>
      <c r="J5" s="8" t="n">
        <f aca="false">IF(OR(H5="",I5=""),"",H5-I5)</f>
        <v>-0.27472527472527</v>
      </c>
      <c r="K5" s="7" t="n">
        <f aca="false">IFERROR(AVERAGE(C5,F5,I5),"")</f>
        <v>89.5192307692308</v>
      </c>
      <c r="L5" s="9" t="n">
        <f aca="false">IFERROR(RANK(K5,$K$5:$K$12),"")</f>
        <v>3</v>
      </c>
      <c r="M5" s="9" t="n">
        <f aca="false">COUNTIF(Bulgular!$H$2:$H$570,A5)</f>
        <v>27</v>
      </c>
      <c r="N5" s="9" t="n">
        <f aca="false">COUNTIFS(Bulgular!$H$2:$H$570,A5,Bulgular!$F$2:$F$570,"Kritik")</f>
        <v>6</v>
      </c>
      <c r="O5" s="9" t="n">
        <f aca="false">COUNTIFS(DOF_Takip!$C$2:$C$200,A5,DOF_Takip!$J$2:$J$200,"Açık")+COUNTIFS(DOF_Takip!$C$2:$C$200,A5,DOF_Takip!$J$2:$J$200,"Gecikmiş")</f>
        <v>0</v>
      </c>
      <c r="P5" s="9" t="n">
        <f aca="false">COUNTIFS(DOF_Takip!$C$2:$C$200,A5,DOF_Takip!$J$2:$J$200,"Gecikmiş")</f>
        <v>0</v>
      </c>
    </row>
    <row r="6" customFormat="false" ht="15" hidden="false" customHeight="false" outlineLevel="0" collapsed="false">
      <c r="A6" s="6" t="str">
        <f aca="false">Magazalar!A3</f>
        <v>Mağaza B</v>
      </c>
      <c r="B6" s="7" t="n">
        <f aca="false">IFERROR(AVERAGEIFS(Denetimler!$L$2:$L$286,Denetimler!$C$2:$C$286,$A6,Denetimler!$D$2:$D$286,"ASA",Denetimler!$E$2:$E$286,"İç denetim"),"")</f>
        <v>90.625</v>
      </c>
      <c r="C6" s="7" t="n">
        <f aca="false">IFERROR(AVERAGEIFS(Denetimler!$L$2:$L$286,Denetimler!$C$2:$C$286,$A6,Denetimler!$D$2:$D$286,"ASA",Denetimler!$E$2:$E$286,"Esas denetim"),"")</f>
        <v>96.25</v>
      </c>
      <c r="D6" s="8" t="n">
        <f aca="false">IF(OR(B6="",C6=""),"",B6-C6)</f>
        <v>-5.625</v>
      </c>
      <c r="E6" s="7" t="n">
        <f aca="false">IFERROR(AVERAGEIFS(Denetimler!$L$2:$L$286,Denetimler!$C$2:$C$286,$A6,Denetimler!$D$2:$D$286,"PAP",Denetimler!$E$2:$E$286,"İç denetim"),"")</f>
        <v>86.6666666666667</v>
      </c>
      <c r="F6" s="7" t="n">
        <f aca="false">IFERROR(AVERAGEIFS(Denetimler!$L$2:$L$286,Denetimler!$C$2:$C$286,$A6,Denetimler!$D$2:$D$286,"PAP",Denetimler!$E$2:$E$286,"Esas denetim"),"")</f>
        <v>88.3333333333333</v>
      </c>
      <c r="G6" s="8" t="n">
        <f aca="false">IF(OR(E6="",F6=""),"",E6-F6)</f>
        <v>-1.66666666666667</v>
      </c>
      <c r="H6" s="7" t="n">
        <f aca="false">IFERROR(AVERAGEIFS(Denetimler!$L$2:$L$286,Denetimler!$C$2:$C$286,$A6,Denetimler!$D$2:$D$286,"RSA",Denetimler!$E$2:$E$286,"İç denetim"),"")</f>
        <v>94.2307692307692</v>
      </c>
      <c r="I6" s="7" t="n">
        <f aca="false">IFERROR(AVERAGEIFS(Denetimler!$L$2:$L$286,Denetimler!$C$2:$C$286,$A6,Denetimler!$D$2:$D$286,"RSA",Denetimler!$E$2:$E$286,"Esas denetim"),"")</f>
        <v>98.3516483516484</v>
      </c>
      <c r="J6" s="8" t="n">
        <f aca="false">IF(OR(H6="",I6=""),"",H6-I6)</f>
        <v>-4.12087912087912</v>
      </c>
      <c r="K6" s="7" t="n">
        <f aca="false">IFERROR(AVERAGE(C6,F6,I6),"")</f>
        <v>94.3116605616606</v>
      </c>
      <c r="L6" s="9" t="n">
        <f aca="false">IFERROR(RANK(K6,$K$5:$K$12),"")</f>
        <v>2</v>
      </c>
      <c r="M6" s="9" t="n">
        <f aca="false">COUNTIF(Bulgular!$H$2:$H$570,A6)</f>
        <v>21</v>
      </c>
      <c r="N6" s="9" t="n">
        <f aca="false">COUNTIFS(Bulgular!$H$2:$H$570,A6,Bulgular!$F$2:$F$570,"Kritik")</f>
        <v>6</v>
      </c>
      <c r="O6" s="9" t="n">
        <f aca="false">COUNTIFS(DOF_Takip!$C$2:$C$200,A6,DOF_Takip!$J$2:$J$200,"Açık")+COUNTIFS(DOF_Takip!$C$2:$C$200,A6,DOF_Takip!$J$2:$J$200,"Gecikmiş")</f>
        <v>1</v>
      </c>
      <c r="P6" s="9" t="n">
        <f aca="false">COUNTIFS(DOF_Takip!$C$2:$C$200,A6,DOF_Takip!$J$2:$J$200,"Gecikmiş")</f>
        <v>1</v>
      </c>
    </row>
    <row r="7" customFormat="false" ht="15" hidden="false" customHeight="false" outlineLevel="0" collapsed="false">
      <c r="A7" s="6" t="str">
        <f aca="false">Magazalar!A4</f>
        <v>Mağaza C</v>
      </c>
      <c r="B7" s="7" t="n">
        <f aca="false">IFERROR(AVERAGEIFS(Denetimler!$L$2:$L$286,Denetimler!$C$2:$C$286,$A7,Denetimler!$D$2:$D$286,"ASA",Denetimler!$E$2:$E$286,"İç denetim"),"")</f>
        <v>92.0833333333333</v>
      </c>
      <c r="C7" s="7" t="n">
        <f aca="false">IFERROR(AVERAGEIFS(Denetimler!$L$2:$L$286,Denetimler!$C$2:$C$286,$A7,Denetimler!$D$2:$D$286,"ASA",Denetimler!$E$2:$E$286,"Esas denetim"),"")</f>
        <v>96.25</v>
      </c>
      <c r="D7" s="8" t="n">
        <f aca="false">IF(OR(B7="",C7=""),"",B7-C7)</f>
        <v>-4.16666666666667</v>
      </c>
      <c r="E7" s="7" t="n">
        <f aca="false">IFERROR(AVERAGEIFS(Denetimler!$L$2:$L$286,Denetimler!$C$2:$C$286,$A7,Denetimler!$D$2:$D$286,"PAP",Denetimler!$E$2:$E$286,"İç denetim"),"")</f>
        <v>91.6666666666667</v>
      </c>
      <c r="F7" s="7" t="n">
        <f aca="false">IFERROR(AVERAGEIFS(Denetimler!$L$2:$L$286,Denetimler!$C$2:$C$286,$A7,Denetimler!$D$2:$D$286,"PAP",Denetimler!$E$2:$E$286,"Esas denetim"),"")</f>
        <v>91.6666666666667</v>
      </c>
      <c r="G7" s="8" t="n">
        <f aca="false">IF(OR(E7="",F7=""),"",E7-F7)</f>
        <v>0</v>
      </c>
      <c r="H7" s="7" t="n">
        <f aca="false">IFERROR(AVERAGEIFS(Denetimler!$L$2:$L$286,Denetimler!$C$2:$C$286,$A7,Denetimler!$D$2:$D$286,"RSA",Denetimler!$E$2:$E$286,"İç denetim"),"")</f>
        <v>93.5897435897436</v>
      </c>
      <c r="I7" s="7" t="n">
        <f aca="false">IFERROR(AVERAGEIFS(Denetimler!$L$2:$L$286,Denetimler!$C$2:$C$286,$A7,Denetimler!$D$2:$D$286,"RSA",Denetimler!$E$2:$E$286,"Esas denetim"),"")</f>
        <v>96.7032967032967</v>
      </c>
      <c r="J7" s="8" t="n">
        <f aca="false">IF(OR(H7="",I7=""),"",H7-I7)</f>
        <v>-3.11355311355311</v>
      </c>
      <c r="K7" s="7" t="n">
        <f aca="false">IFERROR(AVERAGE(C7,F7,I7),"")</f>
        <v>94.8733211233211</v>
      </c>
      <c r="L7" s="9" t="n">
        <f aca="false">IFERROR(RANK(K7,$K$5:$K$12),"")</f>
        <v>1</v>
      </c>
      <c r="M7" s="9" t="n">
        <f aca="false">COUNTIF(Bulgular!$H$2:$H$570,A7)</f>
        <v>28</v>
      </c>
      <c r="N7" s="9" t="n">
        <f aca="false">COUNTIFS(Bulgular!$H$2:$H$570,A7,Bulgular!$F$2:$F$570,"Kritik")</f>
        <v>4</v>
      </c>
      <c r="O7" s="9" t="n">
        <f aca="false">COUNTIFS(DOF_Takip!$C$2:$C$200,A7,DOF_Takip!$J$2:$J$200,"Açık")+COUNTIFS(DOF_Takip!$C$2:$C$200,A7,DOF_Takip!$J$2:$J$200,"Gecikmiş")</f>
        <v>0</v>
      </c>
      <c r="P7" s="9" t="n">
        <f aca="false">COUNTIFS(DOF_Takip!$C$2:$C$200,A7,DOF_Takip!$J$2:$J$200,"Gecikmiş")</f>
        <v>0</v>
      </c>
    </row>
    <row r="8" customFormat="false" ht="15" hidden="false" customHeight="false" outlineLevel="0" collapsed="false">
      <c r="A8" s="6" t="str">
        <f aca="false">Magazalar!A5</f>
        <v>Mağaza D</v>
      </c>
      <c r="B8" s="7" t="n">
        <f aca="false">IFERROR(AVERAGEIFS(Denetimler!$L$2:$L$286,Denetimler!$C$2:$C$286,$A8,Denetimler!$D$2:$D$286,"ASA",Denetimler!$E$2:$E$286,"İç denetim"),"")</f>
        <v>86.875</v>
      </c>
      <c r="C8" s="7" t="n">
        <f aca="false">IFERROR(AVERAGEIFS(Denetimler!$L$2:$L$286,Denetimler!$C$2:$C$286,$A8,Denetimler!$D$2:$D$286,"ASA",Denetimler!$E$2:$E$286,"Esas denetim"),"")</f>
        <v>96.25</v>
      </c>
      <c r="D8" s="8" t="n">
        <f aca="false">IF(OR(B8="",C8=""),"",B8-C8)</f>
        <v>-9.375</v>
      </c>
      <c r="E8" s="7" t="n">
        <f aca="false">IFERROR(AVERAGEIFS(Denetimler!$L$2:$L$286,Denetimler!$C$2:$C$286,$A8,Denetimler!$D$2:$D$286,"PAP",Denetimler!$E$2:$E$286,"İç denetim"),"")</f>
        <v>78.3333333333333</v>
      </c>
      <c r="F8" s="7" t="n">
        <f aca="false">IFERROR(AVERAGEIFS(Denetimler!$L$2:$L$286,Denetimler!$C$2:$C$286,$A8,Denetimler!$D$2:$D$286,"PAP",Denetimler!$E$2:$E$286,"Esas denetim"),"")</f>
        <v>75</v>
      </c>
      <c r="G8" s="8" t="n">
        <f aca="false">IF(OR(E8="",F8=""),"",E8-F8)</f>
        <v>3.33333333333333</v>
      </c>
      <c r="H8" s="7" t="n">
        <f aca="false">IFERROR(AVERAGEIFS(Denetimler!$L$2:$L$286,Denetimler!$C$2:$C$286,$A8,Denetimler!$D$2:$D$286,"RSA",Denetimler!$E$2:$E$286,"İç denetim"),"")</f>
        <v>94.6886446886447</v>
      </c>
      <c r="I8" s="7" t="n">
        <f aca="false">IFERROR(AVERAGEIFS(Denetimler!$L$2:$L$286,Denetimler!$C$2:$C$286,$A8,Denetimler!$D$2:$D$286,"RSA",Denetimler!$E$2:$E$286,"Esas denetim"),"")</f>
        <v>96.1538461538462</v>
      </c>
      <c r="J8" s="8" t="n">
        <f aca="false">IF(OR(H8="",I8=""),"",H8-I8)</f>
        <v>-1.46520146520147</v>
      </c>
      <c r="K8" s="7" t="n">
        <f aca="false">IFERROR(AVERAGE(C8,F8,I8),"")</f>
        <v>89.1346153846154</v>
      </c>
      <c r="L8" s="9" t="n">
        <f aca="false">IFERROR(RANK(K8,$K$5:$K$12),"")</f>
        <v>4</v>
      </c>
      <c r="M8" s="9" t="n">
        <f aca="false">COUNTIF(Bulgular!$H$2:$H$570,A8)</f>
        <v>38</v>
      </c>
      <c r="N8" s="9" t="n">
        <f aca="false">COUNTIFS(Bulgular!$H$2:$H$570,A8,Bulgular!$F$2:$F$570,"Kritik")</f>
        <v>4</v>
      </c>
      <c r="O8" s="9" t="n">
        <f aca="false">COUNTIFS(DOF_Takip!$C$2:$C$200,A8,DOF_Takip!$J$2:$J$200,"Açık")+COUNTIFS(DOF_Takip!$C$2:$C$200,A8,DOF_Takip!$J$2:$J$200,"Gecikmiş")</f>
        <v>3</v>
      </c>
      <c r="P8" s="9" t="n">
        <f aca="false">COUNTIFS(DOF_Takip!$C$2:$C$200,A8,DOF_Takip!$J$2:$J$200,"Gecikmiş")</f>
        <v>3</v>
      </c>
    </row>
    <row r="9" customFormat="false" ht="15" hidden="false" customHeight="false" outlineLevel="0" collapsed="false">
      <c r="A9" s="6" t="str">
        <f aca="false">Magazalar!A6</f>
        <v>Mağaza E</v>
      </c>
      <c r="B9" s="7" t="n">
        <f aca="false">IFERROR(AVERAGEIFS(Denetimler!$L$2:$L$286,Denetimler!$C$2:$C$286,$A9,Denetimler!$D$2:$D$286,"ASA",Denetimler!$E$2:$E$286,"İç denetim"),"")</f>
        <v>95.4166666666667</v>
      </c>
      <c r="C9" s="7" t="n">
        <f aca="false">IFERROR(AVERAGEIFS(Denetimler!$L$2:$L$286,Denetimler!$C$2:$C$286,$A9,Denetimler!$D$2:$D$286,"ASA",Denetimler!$E$2:$E$286,"Esas denetim"),"")</f>
        <v>83.75</v>
      </c>
      <c r="D9" s="8" t="n">
        <f aca="false">IF(OR(B9="",C9=""),"",B9-C9)</f>
        <v>11.6666666666667</v>
      </c>
      <c r="E9" s="7" t="n">
        <f aca="false">IFERROR(AVERAGEIFS(Denetimler!$L$2:$L$286,Denetimler!$C$2:$C$286,$A9,Denetimler!$D$2:$D$286,"PAP",Denetimler!$E$2:$E$286,"İç denetim"),"")</f>
        <v>89.4444444444444</v>
      </c>
      <c r="F9" s="7" t="n">
        <f aca="false">IFERROR(AVERAGEIFS(Denetimler!$L$2:$L$286,Denetimler!$C$2:$C$286,$A9,Denetimler!$D$2:$D$286,"PAP",Denetimler!$E$2:$E$286,"Esas denetim"),"")</f>
        <v>78.3333333333333</v>
      </c>
      <c r="G9" s="8" t="n">
        <f aca="false">IF(OR(E9="",F9=""),"",E9-F9)</f>
        <v>11.1111111111111</v>
      </c>
      <c r="H9" s="7" t="n">
        <f aca="false">IFERROR(AVERAGEIFS(Denetimler!$L$2:$L$286,Denetimler!$C$2:$C$286,$A9,Denetimler!$D$2:$D$286,"RSA",Denetimler!$E$2:$E$286,"İç denetim"),"")</f>
        <v>97.5274725274725</v>
      </c>
      <c r="I9" s="7" t="n">
        <f aca="false">IFERROR(AVERAGEIFS(Denetimler!$L$2:$L$286,Denetimler!$C$2:$C$286,$A9,Denetimler!$D$2:$D$286,"RSA",Denetimler!$E$2:$E$286,"Esas denetim"),"")</f>
        <v>91.2087912087912</v>
      </c>
      <c r="J9" s="8" t="n">
        <f aca="false">IF(OR(H9="",I9=""),"",H9-I9)</f>
        <v>6.31868131868131</v>
      </c>
      <c r="K9" s="7" t="n">
        <f aca="false">IFERROR(AVERAGE(C9,F9,I9),"")</f>
        <v>84.4307081807082</v>
      </c>
      <c r="L9" s="9" t="n">
        <f aca="false">IFERROR(RANK(K9,$K$5:$K$12),"")</f>
        <v>6</v>
      </c>
      <c r="M9" s="9" t="n">
        <f aca="false">COUNTIF(Bulgular!$H$2:$H$570,A9)</f>
        <v>27</v>
      </c>
      <c r="N9" s="9" t="n">
        <f aca="false">COUNTIFS(Bulgular!$H$2:$H$570,A9,Bulgular!$F$2:$F$570,"Kritik")</f>
        <v>5</v>
      </c>
      <c r="O9" s="9" t="n">
        <f aca="false">COUNTIFS(DOF_Takip!$C$2:$C$200,A9,DOF_Takip!$J$2:$J$200,"Açık")+COUNTIFS(DOF_Takip!$C$2:$C$200,A9,DOF_Takip!$J$2:$J$200,"Gecikmiş")</f>
        <v>1</v>
      </c>
      <c r="P9" s="9" t="n">
        <f aca="false">COUNTIFS(DOF_Takip!$C$2:$C$200,A9,DOF_Takip!$J$2:$J$200,"Gecikmiş")</f>
        <v>1</v>
      </c>
    </row>
    <row r="10" customFormat="false" ht="15" hidden="false" customHeight="false" outlineLevel="0" collapsed="false">
      <c r="A10" s="6" t="str">
        <f aca="false">Magazalar!A7</f>
        <v>Mağaza F</v>
      </c>
      <c r="B10" s="7" t="n">
        <f aca="false">IFERROR(AVERAGEIFS(Denetimler!$L$2:$L$286,Denetimler!$C$2:$C$286,$A10,Denetimler!$D$2:$D$286,"ASA",Denetimler!$E$2:$E$286,"İç denetim"),"")</f>
        <v>93.3333333333333</v>
      </c>
      <c r="C10" s="7" t="n">
        <f aca="false">IFERROR(AVERAGEIFS(Denetimler!$L$2:$L$286,Denetimler!$C$2:$C$286,$A10,Denetimler!$D$2:$D$286,"ASA",Denetimler!$E$2:$E$286,"Esas denetim"),"")</f>
        <v>72.5</v>
      </c>
      <c r="D10" s="8" t="n">
        <f aca="false">IF(OR(B10="",C10=""),"",B10-C10)</f>
        <v>20.8333333333333</v>
      </c>
      <c r="E10" s="7" t="n">
        <f aca="false">IFERROR(AVERAGEIFS(Denetimler!$L$2:$L$286,Denetimler!$C$2:$C$286,$A10,Denetimler!$D$2:$D$286,"PAP",Denetimler!$E$2:$E$286,"İç denetim"),"")</f>
        <v>79.4444444444444</v>
      </c>
      <c r="F10" s="7" t="n">
        <f aca="false">IFERROR(AVERAGEIFS(Denetimler!$L$2:$L$286,Denetimler!$C$2:$C$286,$A10,Denetimler!$D$2:$D$286,"PAP",Denetimler!$E$2:$E$286,"Esas denetim"),"")</f>
        <v>80</v>
      </c>
      <c r="G10" s="8" t="n">
        <f aca="false">IF(OR(E10="",F10=""),"",E10-F10)</f>
        <v>-0.555555555555557</v>
      </c>
      <c r="H10" s="7" t="n">
        <f aca="false">IFERROR(AVERAGEIFS(Denetimler!$L$2:$L$286,Denetimler!$C$2:$C$286,$A10,Denetimler!$D$2:$D$286,"RSA",Denetimler!$E$2:$E$286,"İç denetim"),"")</f>
        <v>92.4908424908425</v>
      </c>
      <c r="I10" s="7" t="n">
        <f aca="false">IFERROR(AVERAGEIFS(Denetimler!$L$2:$L$286,Denetimler!$C$2:$C$286,$A10,Denetimler!$D$2:$D$286,"RSA",Denetimler!$E$2:$E$286,"Esas denetim"),"")</f>
        <v>98.3516483516484</v>
      </c>
      <c r="J10" s="8" t="n">
        <f aca="false">IF(OR(H10="",I10=""),"",H10-I10)</f>
        <v>-5.86080586080585</v>
      </c>
      <c r="K10" s="7" t="n">
        <f aca="false">IFERROR(AVERAGE(C10,F10,I10),"")</f>
        <v>83.6172161172161</v>
      </c>
      <c r="L10" s="9" t="n">
        <f aca="false">IFERROR(RANK(K10,$K$5:$K$12),"")</f>
        <v>7</v>
      </c>
      <c r="M10" s="9" t="n">
        <f aca="false">COUNTIF(Bulgular!$H$2:$H$570,A10)</f>
        <v>44</v>
      </c>
      <c r="N10" s="9" t="n">
        <f aca="false">COUNTIFS(Bulgular!$H$2:$H$570,A10,Bulgular!$F$2:$F$570,"Kritik")</f>
        <v>8</v>
      </c>
      <c r="O10" s="9" t="n">
        <f aca="false">COUNTIFS(DOF_Takip!$C$2:$C$200,A10,DOF_Takip!$J$2:$J$200,"Açık")+COUNTIFS(DOF_Takip!$C$2:$C$200,A10,DOF_Takip!$J$2:$J$200,"Gecikmiş")</f>
        <v>1</v>
      </c>
      <c r="P10" s="9" t="n">
        <f aca="false">COUNTIFS(DOF_Takip!$C$2:$C$200,A10,DOF_Takip!$J$2:$J$200,"Gecikmiş")</f>
        <v>1</v>
      </c>
    </row>
    <row r="11" customFormat="false" ht="15" hidden="false" customHeight="false" outlineLevel="0" collapsed="false">
      <c r="A11" s="6" t="str">
        <f aca="false">Magazalar!A8</f>
        <v>Mağaza G</v>
      </c>
      <c r="B11" s="7" t="n">
        <f aca="false">IFERROR(AVERAGEIFS(Denetimler!$L$2:$L$286,Denetimler!$C$2:$C$286,$A11,Denetimler!$D$2:$D$286,"ASA",Denetimler!$E$2:$E$286,"İç denetim"),"")</f>
        <v>81.25</v>
      </c>
      <c r="C11" s="7" t="n">
        <f aca="false">IFERROR(AVERAGEIFS(Denetimler!$L$2:$L$286,Denetimler!$C$2:$C$286,$A11,Denetimler!$D$2:$D$286,"ASA",Denetimler!$E$2:$E$286,"Esas denetim"),"")</f>
        <v>92.5</v>
      </c>
      <c r="D11" s="8" t="n">
        <f aca="false">IF(OR(B11="",C11=""),"",B11-C11)</f>
        <v>-11.25</v>
      </c>
      <c r="E11" s="7" t="n">
        <f aca="false">IFERROR(AVERAGEIFS(Denetimler!$L$2:$L$286,Denetimler!$C$2:$C$286,$A11,Denetimler!$D$2:$D$286,"PAP",Denetimler!$E$2:$E$286,"İç denetim"),"")</f>
        <v>73.8888888888889</v>
      </c>
      <c r="F11" s="7" t="n">
        <f aca="false">IFERROR(AVERAGEIFS(Denetimler!$L$2:$L$286,Denetimler!$C$2:$C$286,$A11,Denetimler!$D$2:$D$286,"PAP",Denetimler!$E$2:$E$286,"Esas denetim"),"")</f>
        <v>65</v>
      </c>
      <c r="G11" s="8" t="n">
        <f aca="false">IF(OR(E11="",F11=""),"",E11-F11)</f>
        <v>8.88888888888889</v>
      </c>
      <c r="H11" s="7" t="n">
        <f aca="false">IFERROR(AVERAGEIFS(Denetimler!$L$2:$L$286,Denetimler!$C$2:$C$286,$A11,Denetimler!$D$2:$D$286,"RSA",Denetimler!$E$2:$E$286,"İç denetim"),"")</f>
        <v>95.0549450549451</v>
      </c>
      <c r="I11" s="7" t="n">
        <f aca="false">IFERROR(AVERAGEIFS(Denetimler!$L$2:$L$286,Denetimler!$C$2:$C$286,$A11,Denetimler!$D$2:$D$286,"RSA",Denetimler!$E$2:$E$286,"Esas denetim"),"")</f>
        <v>92.8571428571429</v>
      </c>
      <c r="J11" s="8" t="n">
        <f aca="false">IF(OR(H11="",I11=""),"",H11-I11)</f>
        <v>2.19780219780219</v>
      </c>
      <c r="K11" s="7" t="n">
        <f aca="false">IFERROR(AVERAGE(C11,F11,I11),"")</f>
        <v>83.452380952381</v>
      </c>
      <c r="L11" s="9" t="n">
        <f aca="false">IFERROR(RANK(K11,$K$5:$K$12),"")</f>
        <v>8</v>
      </c>
      <c r="M11" s="9" t="n">
        <f aca="false">COUNTIF(Bulgular!$H$2:$H$570,A11)</f>
        <v>44</v>
      </c>
      <c r="N11" s="9" t="n">
        <f aca="false">COUNTIFS(Bulgular!$H$2:$H$570,A11,Bulgular!$F$2:$F$570,"Kritik")</f>
        <v>11</v>
      </c>
      <c r="O11" s="9" t="n">
        <f aca="false">COUNTIFS(DOF_Takip!$C$2:$C$200,A11,DOF_Takip!$J$2:$J$200,"Açık")+COUNTIFS(DOF_Takip!$C$2:$C$200,A11,DOF_Takip!$J$2:$J$200,"Gecikmiş")</f>
        <v>1</v>
      </c>
      <c r="P11" s="9" t="n">
        <f aca="false">COUNTIFS(DOF_Takip!$C$2:$C$200,A11,DOF_Takip!$J$2:$J$200,"Gecikmiş")</f>
        <v>1</v>
      </c>
    </row>
    <row r="12" customFormat="false" ht="15" hidden="false" customHeight="false" outlineLevel="0" collapsed="false">
      <c r="A12" s="6" t="str">
        <f aca="false">Magazalar!A9</f>
        <v>Mağaza H</v>
      </c>
      <c r="B12" s="7" t="n">
        <f aca="false">IFERROR(AVERAGEIFS(Denetimler!$L$2:$L$286,Denetimler!$C$2:$C$286,$A12,Denetimler!$D$2:$D$286,"ASA",Denetimler!$E$2:$E$286,"İç denetim"),"")</f>
        <v>83.75</v>
      </c>
      <c r="C12" s="7" t="n">
        <f aca="false">IFERROR(AVERAGEIFS(Denetimler!$L$2:$L$286,Denetimler!$C$2:$C$286,$A12,Denetimler!$D$2:$D$286,"ASA",Denetimler!$E$2:$E$286,"Esas denetim"),"")</f>
        <v>82.5</v>
      </c>
      <c r="D12" s="8" t="n">
        <f aca="false">IF(OR(B12="",C12=""),"",B12-C12)</f>
        <v>1.25</v>
      </c>
      <c r="E12" s="7" t="n">
        <f aca="false">IFERROR(AVERAGEIFS(Denetimler!$L$2:$L$286,Denetimler!$C$2:$C$286,$A12,Denetimler!$D$2:$D$286,"PAP",Denetimler!$E$2:$E$286,"İç denetim"),"")</f>
        <v>80</v>
      </c>
      <c r="F12" s="7" t="n">
        <f aca="false">IFERROR(AVERAGEIFS(Denetimler!$L$2:$L$286,Denetimler!$C$2:$C$286,$A12,Denetimler!$D$2:$D$286,"PAP",Denetimler!$E$2:$E$286,"Esas denetim"),"")</f>
        <v>78.3333333333333</v>
      </c>
      <c r="G12" s="8" t="n">
        <f aca="false">IF(OR(E12="",F12=""),"",E12-F12)</f>
        <v>1.66666666666667</v>
      </c>
      <c r="H12" s="7" t="n">
        <f aca="false">IFERROR(AVERAGEIFS(Denetimler!$L$2:$L$286,Denetimler!$C$2:$C$286,$A12,Denetimler!$D$2:$D$286,"RSA",Denetimler!$E$2:$E$286,"İç denetim"),"")</f>
        <v>94.6886446886447</v>
      </c>
      <c r="I12" s="7" t="n">
        <f aca="false">IFERROR(AVERAGEIFS(Denetimler!$L$2:$L$286,Denetimler!$C$2:$C$286,$A12,Denetimler!$D$2:$D$286,"RSA",Denetimler!$E$2:$E$286,"Esas denetim"),"")</f>
        <v>92.8571428571429</v>
      </c>
      <c r="J12" s="8" t="n">
        <f aca="false">IF(OR(H12="",I12=""),"",H12-I12)</f>
        <v>1.83150183150183</v>
      </c>
      <c r="K12" s="7" t="n">
        <f aca="false">IFERROR(AVERAGE(C12,F12,I12),"")</f>
        <v>84.5634920634921</v>
      </c>
      <c r="L12" s="9" t="n">
        <f aca="false">IFERROR(RANK(K12,$K$5:$K$12),"")</f>
        <v>5</v>
      </c>
      <c r="M12" s="9" t="n">
        <f aca="false">COUNTIF(Bulgular!$H$2:$H$570,A12)</f>
        <v>40</v>
      </c>
      <c r="N12" s="9" t="n">
        <f aca="false">COUNTIFS(Bulgular!$H$2:$H$570,A12,Bulgular!$F$2:$F$570,"Kritik")</f>
        <v>8</v>
      </c>
      <c r="O12" s="9" t="n">
        <f aca="false">COUNTIFS(DOF_Takip!$C$2:$C$200,A12,DOF_Takip!$J$2:$J$200,"Açık")+COUNTIFS(DOF_Takip!$C$2:$C$200,A12,DOF_Takip!$J$2:$J$200,"Gecikmiş")</f>
        <v>0</v>
      </c>
      <c r="P12" s="9" t="n">
        <f aca="false">COUNTIFS(DOF_Takip!$C$2:$C$200,A12,DOF_Takip!$J$2:$J$200,"Gecikmiş")</f>
        <v>0</v>
      </c>
    </row>
    <row r="13" customFormat="false" ht="15" hidden="false" customHeight="false" outlineLevel="0" collapsed="false">
      <c r="A13" s="10" t="s">
        <v>32</v>
      </c>
      <c r="B13" s="11" t="n">
        <f aca="false">IFERROR(AVERAGE(B5:B12),"")</f>
        <v>89.0885416666667</v>
      </c>
      <c r="C13" s="11" t="n">
        <f aca="false">IFERROR(AVERAGE(C5:C12),"")</f>
        <v>88.28125</v>
      </c>
      <c r="D13" s="12" t="n">
        <f aca="false">IFERROR(AVERAGE(D5:D12),"")</f>
        <v>0.807291666666666</v>
      </c>
      <c r="E13" s="11" t="n">
        <f aca="false">IFERROR(AVERAGE(E5:E12),"")</f>
        <v>84.4444444444444</v>
      </c>
      <c r="F13" s="11" t="n">
        <f aca="false">IFERROR(AVERAGE(F5:F12),"")</f>
        <v>80.8333333333333</v>
      </c>
      <c r="G13" s="12" t="n">
        <f aca="false">IFERROR(AVERAGE(G5:G12),"")</f>
        <v>3.61111111111111</v>
      </c>
      <c r="H13" s="11" t="n">
        <f aca="false">IFERROR(AVERAGE(H5:H12),"")</f>
        <v>94.2880036630037</v>
      </c>
      <c r="I13" s="11" t="n">
        <f aca="false">IFERROR(AVERAGE(I5:I12),"")</f>
        <v>94.8489010989011</v>
      </c>
      <c r="J13" s="12" t="n">
        <f aca="false">IFERROR(AVERAGE(J5:J12),"")</f>
        <v>-0.560897435897438</v>
      </c>
      <c r="K13" s="11" t="n">
        <f aca="false">IFERROR(AVERAGE(K5:K12),"")</f>
        <v>87.9878281440782</v>
      </c>
      <c r="L13" s="13"/>
      <c r="M13" s="10" t="n">
        <f aca="false">SUM(M5:M12)</f>
        <v>269</v>
      </c>
      <c r="N13" s="10" t="n">
        <f aca="false">SUM(N5:N12)</f>
        <v>52</v>
      </c>
      <c r="O13" s="10" t="n">
        <f aca="false">SUM(O5:O12)</f>
        <v>7</v>
      </c>
      <c r="P13" s="10" t="n">
        <f aca="false">SUM(P5:P12)</f>
        <v>7</v>
      </c>
    </row>
    <row r="15" customFormat="false" ht="15" hidden="false" customHeight="false" outlineLevel="0" collapsed="false">
      <c r="A15" s="4" t="s">
        <v>33</v>
      </c>
    </row>
    <row r="16" customFormat="false" ht="15" hidden="false" customHeight="false" outlineLevel="0" collapsed="false">
      <c r="A16" s="14" t="s">
        <v>34</v>
      </c>
      <c r="C16" s="4" t="n">
        <f aca="false">COUNTIF(Denetim_Takvimi!$G:$G,"Yapıldı")</f>
        <v>61</v>
      </c>
    </row>
    <row r="17" customFormat="false" ht="15" hidden="false" customHeight="false" outlineLevel="0" collapsed="false">
      <c r="A17" s="14" t="s">
        <v>35</v>
      </c>
      <c r="C17" s="4" t="n">
        <f aca="false">COUNTIF(Denetim_Takvimi!$G:$G,"Gecikti")</f>
        <v>11</v>
      </c>
    </row>
    <row r="18" customFormat="false" ht="15" hidden="false" customHeight="false" outlineLevel="0" collapsed="false">
      <c r="A18" s="14" t="s">
        <v>36</v>
      </c>
      <c r="C18" s="4" t="n">
        <f aca="false">COUNTIF(Denetim_Takvimi!$G:$G,"Yaklaşıyor")</f>
        <v>12</v>
      </c>
    </row>
    <row r="19" customFormat="false" ht="15" hidden="false" customHeight="false" outlineLevel="0" collapsed="false">
      <c r="A19" s="14" t="s">
        <v>37</v>
      </c>
      <c r="C19" s="4" t="n">
        <f aca="false">COUNTIF(Denetim_Takvimi!$N:$N,"Yaklaşıyor")</f>
        <v>5</v>
      </c>
    </row>
    <row r="20" customFormat="false" ht="15" hidden="false" customHeight="false" outlineLevel="0" collapsed="false">
      <c r="A20" s="14" t="s">
        <v>38</v>
      </c>
      <c r="C20" s="4" t="n">
        <f aca="false">COUNTA(Denetim_Takvimi!$H$5:$H$100)-COUNTIF(Denetim_Takvimi!$H$5:$H$100,"Uygun*")</f>
        <v>1</v>
      </c>
    </row>
  </sheetData>
  <conditionalFormatting sqref="B5:B12">
    <cfRule type="expression" priority="2" aboveAverage="0" equalAverage="0" bottom="0" percent="0" rank="0" text="" dxfId="0">
      <formula>AND(B5&lt;&gt;"",B5&lt;Ayarlar!$D$11)</formula>
    </cfRule>
    <cfRule type="expression" priority="3" aboveAverage="0" equalAverage="0" bottom="0" percent="0" rank="0" text="" dxfId="1">
      <formula>AND(B5&lt;&gt;"",B5&gt;=Ayarlar!$D$11)</formula>
    </cfRule>
  </conditionalFormatting>
  <conditionalFormatting sqref="C5:C12">
    <cfRule type="expression" priority="4" aboveAverage="0" equalAverage="0" bottom="0" percent="0" rank="0" text="" dxfId="0">
      <formula>AND(C5&lt;&gt;"",C5&lt;Ayarlar!$D$11)</formula>
    </cfRule>
    <cfRule type="expression" priority="5" aboveAverage="0" equalAverage="0" bottom="0" percent="0" rank="0" text="" dxfId="1">
      <formula>AND(C5&lt;&gt;"",C5&gt;=Ayarlar!$D$11)</formula>
    </cfRule>
  </conditionalFormatting>
  <conditionalFormatting sqref="E5:E12">
    <cfRule type="expression" priority="6" aboveAverage="0" equalAverage="0" bottom="0" percent="0" rank="0" text="" dxfId="0">
      <formula>AND(E5&lt;&gt;"",E5&lt;Ayarlar!$D$12)</formula>
    </cfRule>
    <cfRule type="expression" priority="7" aboveAverage="0" equalAverage="0" bottom="0" percent="0" rank="0" text="" dxfId="1">
      <formula>AND(E5&lt;&gt;"",E5&gt;=Ayarlar!$D$12)</formula>
    </cfRule>
  </conditionalFormatting>
  <conditionalFormatting sqref="F5:F12">
    <cfRule type="expression" priority="8" aboveAverage="0" equalAverage="0" bottom="0" percent="0" rank="0" text="" dxfId="0">
      <formula>AND(F5&lt;&gt;"",F5&lt;Ayarlar!$D$12)</formula>
    </cfRule>
    <cfRule type="expression" priority="9" aboveAverage="0" equalAverage="0" bottom="0" percent="0" rank="0" text="" dxfId="1">
      <formula>AND(F5&lt;&gt;"",F5&gt;=Ayarlar!$D$12)</formula>
    </cfRule>
  </conditionalFormatting>
  <conditionalFormatting sqref="H5:H12">
    <cfRule type="expression" priority="10" aboveAverage="0" equalAverage="0" bottom="0" percent="0" rank="0" text="" dxfId="0">
      <formula>AND(H5&lt;&gt;"",H5&lt;Ayarlar!$D$13)</formula>
    </cfRule>
    <cfRule type="expression" priority="11" aboveAverage="0" equalAverage="0" bottom="0" percent="0" rank="0" text="" dxfId="1">
      <formula>AND(H5&lt;&gt;"",H5&gt;=Ayarlar!$D$13)</formula>
    </cfRule>
  </conditionalFormatting>
  <conditionalFormatting sqref="I5:I12">
    <cfRule type="expression" priority="12" aboveAverage="0" equalAverage="0" bottom="0" percent="0" rank="0" text="" dxfId="0">
      <formula>AND(I5&lt;&gt;"",I5&lt;Ayarlar!$D$13)</formula>
    </cfRule>
    <cfRule type="expression" priority="13" aboveAverage="0" equalAverage="0" bottom="0" percent="0" rank="0" text="" dxfId="1">
      <formula>AND(I5&lt;&gt;"",I5&gt;=Ayarlar!$D$13)</formula>
    </cfRule>
  </conditionalFormatting>
  <conditionalFormatting sqref="P5:P12">
    <cfRule type="expression" priority="14" aboveAverage="0" equalAverage="0" bottom="0" percent="0" rank="0" text="" dxfId="0">
      <formula>P5&gt;0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50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8" min="7" style="0" width="10"/>
    <col collapsed="false" customWidth="true" hidden="false" outlineLevel="0" max="9" min="9" style="0" width="30"/>
    <col collapsed="false" customWidth="true" hidden="false" outlineLevel="0" max="10" min="10" style="0" width="16"/>
    <col collapsed="false" customWidth="true" hidden="true" outlineLevel="0" max="12" min="12" style="0" width="13"/>
    <col collapsed="false" customWidth="true" hidden="true" outlineLevel="0" max="19" min="14" style="0" width="13"/>
  </cols>
  <sheetData>
    <row r="1" customFormat="false" ht="16.15" hidden="false" customHeight="false" outlineLevel="0" collapsed="false">
      <c r="A1" s="1" t="s">
        <v>39</v>
      </c>
    </row>
    <row r="2" customFormat="false" ht="15" hidden="false" customHeight="false" outlineLevel="0" collapsed="false">
      <c r="A2" s="4" t="s">
        <v>40</v>
      </c>
      <c r="B2" s="15" t="s">
        <v>41</v>
      </c>
      <c r="C2" s="16" t="s">
        <v>42</v>
      </c>
    </row>
    <row r="3" customFormat="false" ht="15" hidden="false" customHeight="false" outlineLevel="0" collapsed="false">
      <c r="A3" s="2" t="s">
        <v>43</v>
      </c>
    </row>
    <row r="5" customFormat="false" ht="30" hidden="false" customHeight="true" outlineLevel="0" collapsed="false">
      <c r="A5" s="5" t="s">
        <v>27</v>
      </c>
      <c r="B5" s="5" t="s">
        <v>44</v>
      </c>
      <c r="C5" s="5" t="s">
        <v>45</v>
      </c>
      <c r="D5" s="5" t="s">
        <v>46</v>
      </c>
      <c r="E5" s="5" t="s">
        <v>47</v>
      </c>
      <c r="F5" s="5" t="s">
        <v>48</v>
      </c>
      <c r="G5" s="5" t="s">
        <v>49</v>
      </c>
      <c r="H5" s="5" t="s">
        <v>50</v>
      </c>
      <c r="I5" s="5" t="s">
        <v>51</v>
      </c>
      <c r="J5" s="5" t="s">
        <v>52</v>
      </c>
      <c r="K5" s="5"/>
      <c r="L5" s="5" t="s">
        <v>53</v>
      </c>
      <c r="N5" s="5" t="s">
        <v>54</v>
      </c>
      <c r="O5" s="5" t="s">
        <v>48</v>
      </c>
      <c r="P5" s="5" t="s">
        <v>49</v>
      </c>
      <c r="Q5" s="5" t="s">
        <v>55</v>
      </c>
      <c r="R5" s="5" t="s">
        <v>50</v>
      </c>
      <c r="S5" s="5" t="s">
        <v>56</v>
      </c>
    </row>
    <row r="6" customFormat="false" ht="15" hidden="false" customHeight="false" outlineLevel="0" collapsed="false">
      <c r="A6" s="9" t="n">
        <f aca="false">IF(L6="","",1)</f>
        <v>1</v>
      </c>
      <c r="B6" s="9" t="str">
        <f aca="false">IF(L6="","",INDEX(Madde_Listesi!$B$2:$B$24,L6))</f>
        <v>P-1.1</v>
      </c>
      <c r="C6" s="9" t="str">
        <f aca="false">IF(L6="","",INDEX(Madde_Listesi!$C$2:$C$24,L6))</f>
        <v>Kasa farkları kayıt altına alınmış ve açıklanmış</v>
      </c>
      <c r="D6" s="9" t="str">
        <f aca="false">IF(L6="","",INDEX(Madde_Listesi!$A$2:$A$24,L6))</f>
        <v>PAP</v>
      </c>
      <c r="E6" s="17" t="str">
        <f aca="false">IF(L6="","",INDEX(Madde_Listesi!$E$2:$E$24,L6))</f>
        <v>Kritik</v>
      </c>
      <c r="F6" s="9" t="n">
        <f aca="false">IF(L6="","",INDEX($O$6:$O$28,L6))</f>
        <v>21</v>
      </c>
      <c r="G6" s="9" t="n">
        <f aca="false">IF(L6="","",INDEX($P$6:$P$28,L6))</f>
        <v>7</v>
      </c>
      <c r="H6" s="7" t="n">
        <f aca="false">IF(L6="","",INDEX($R$6:$R$28,L6))</f>
        <v>56</v>
      </c>
      <c r="I6" s="9" t="str">
        <f aca="false">IF(L6="","",INDEX(Madde_Listesi!$F$2:$F$24,L6))</f>
        <v>Kasa prosedürleri</v>
      </c>
      <c r="J6" s="9" t="str">
        <f aca="false">IF(L6="","",INDEX(Madde_Magaza!$B$1:$I$1,MATCH(MAX(INDEX(Madde_Magaza!$B$2:$I$24,L6,0)),INDEX(Madde_Magaza!$B$2:$I$24,L6,0),0)))</f>
        <v>Mağaza G</v>
      </c>
      <c r="L6" s="14" t="n">
        <f aca="false">IFERROR(MATCH(LARGE($S$6:$S$28,1),$S$6:$S$28,0),"")</f>
        <v>17</v>
      </c>
      <c r="N6" s="14" t="str">
        <f aca="false">Madde_Listesi!B2</f>
        <v>R-1.2</v>
      </c>
      <c r="O6" s="14" t="n">
        <f aca="false">COUNTIFS(Bulgular!$B$2:$B$570,N6,Bulgular!$J$2:$J$570,"İç denetim")</f>
        <v>8</v>
      </c>
      <c r="P6" s="14" t="n">
        <f aca="false">COUNTIFS(Bulgular!$B$2:$B$570,N6,Bulgular!$J$2:$J$570,"Esas denetim")</f>
        <v>3</v>
      </c>
      <c r="Q6" s="14" t="n">
        <f aca="false">O6+P6</f>
        <v>11</v>
      </c>
      <c r="R6" s="14" t="n">
        <f aca="false">Q6*INDEX(Ayarlar!$B$6:$B$8,MATCH(Madde_Listesi!E2,Ayarlar!$A$6:$A$8,0))</f>
        <v>16.5</v>
      </c>
      <c r="S6" s="14" t="n">
        <f aca="false">IF(OR($B$2="Tümü",Madde_Listesi!A2=$B$2),IF(Q6&gt;0,R6+ROW()/10000,""),"")</f>
        <v>16.5006</v>
      </c>
    </row>
    <row r="7" customFormat="false" ht="15" hidden="false" customHeight="false" outlineLevel="0" collapsed="false">
      <c r="A7" s="9" t="n">
        <f aca="false">IF(L7="","",2)</f>
        <v>2</v>
      </c>
      <c r="B7" s="9" t="str">
        <f aca="false">IF(L7="","",INDEX(Madde_Listesi!$B$2:$B$24,L7))</f>
        <v>A-3.2</v>
      </c>
      <c r="C7" s="9" t="str">
        <f aca="false">IF(L7="","",INDEX(Madde_Listesi!$C$2:$C$24,L7))</f>
        <v>Stok sayımı ve sipariş kayıtları tutarlı</v>
      </c>
      <c r="D7" s="9" t="str">
        <f aca="false">IF(L7="","",INDEX(Madde_Listesi!$A$2:$A$24,L7))</f>
        <v>ASA</v>
      </c>
      <c r="E7" s="17" t="str">
        <f aca="false">IF(L7="","",INDEX(Madde_Listesi!$E$2:$E$24,L7))</f>
        <v>Major</v>
      </c>
      <c r="F7" s="9" t="n">
        <f aca="false">IF(L7="","",INDEX($O$6:$O$28,L7))</f>
        <v>19</v>
      </c>
      <c r="G7" s="9" t="n">
        <f aca="false">IF(L7="","",INDEX($P$6:$P$28,L7))</f>
        <v>11</v>
      </c>
      <c r="H7" s="7" t="n">
        <f aca="false">IF(L7="","",INDEX($R$6:$R$28,L7))</f>
        <v>45</v>
      </c>
      <c r="I7" s="9" t="str">
        <f aca="false">IF(L7="","",INDEX(Madde_Listesi!$F$2:$F$24,L7))</f>
        <v>Stok ve sipariş yönetimi</v>
      </c>
      <c r="J7" s="9" t="str">
        <f aca="false">IF(L7="","",INDEX(Madde_Magaza!$B$1:$I$1,MATCH(MAX(INDEX(Madde_Magaza!$B$2:$I$24,L7,0)),INDEX(Madde_Magaza!$B$2:$I$24,L7,0),0)))</f>
        <v>Mağaza H</v>
      </c>
      <c r="L7" s="14" t="n">
        <f aca="false">IFERROR(MATCH(LARGE($S$6:$S$28,2),$S$6:$S$28,0),"")</f>
        <v>15</v>
      </c>
      <c r="N7" s="14" t="str">
        <f aca="false">Madde_Listesi!B3</f>
        <v>R-2.1</v>
      </c>
      <c r="O7" s="14" t="n">
        <f aca="false">COUNTIFS(Bulgular!$B$2:$B$570,N7,Bulgular!$J$2:$J$570,"İç denetim")</f>
        <v>4</v>
      </c>
      <c r="P7" s="14" t="n">
        <f aca="false">COUNTIFS(Bulgular!$B$2:$B$570,N7,Bulgular!$J$2:$J$570,"Esas denetim")</f>
        <v>2</v>
      </c>
      <c r="Q7" s="14" t="n">
        <f aca="false">O7+P7</f>
        <v>6</v>
      </c>
      <c r="R7" s="14" t="n">
        <f aca="false">Q7*INDEX(Ayarlar!$B$6:$B$8,MATCH(Madde_Listesi!E3,Ayarlar!$A$6:$A$8,0))</f>
        <v>12</v>
      </c>
      <c r="S7" s="14" t="n">
        <f aca="false">IF(OR($B$2="Tümü",Madde_Listesi!A3=$B$2),IF(Q7&gt;0,R7+ROW()/10000,""),"")</f>
        <v>12.0007</v>
      </c>
    </row>
    <row r="8" customFormat="false" ht="15" hidden="false" customHeight="false" outlineLevel="0" collapsed="false">
      <c r="A8" s="9" t="n">
        <f aca="false">IF(L8="","",3)</f>
        <v>3</v>
      </c>
      <c r="B8" s="9" t="str">
        <f aca="false">IF(L8="","",INDEX(Madde_Listesi!$B$2:$B$24,L8))</f>
        <v>R-2.2</v>
      </c>
      <c r="C8" s="9" t="str">
        <f aca="false">IF(L8="","",INDEX(Madde_Listesi!$C$2:$C$24,L8))</f>
        <v>Sıcaklık kayıtları tam ve zamanında tutulmuş</v>
      </c>
      <c r="D8" s="9" t="str">
        <f aca="false">IF(L8="","",INDEX(Madde_Listesi!$A$2:$A$24,L8))</f>
        <v>RSA</v>
      </c>
      <c r="E8" s="17" t="str">
        <f aca="false">IF(L8="","",INDEX(Madde_Listesi!$E$2:$E$24,L8))</f>
        <v>Major</v>
      </c>
      <c r="F8" s="9" t="n">
        <f aca="false">IF(L8="","",INDEX($O$6:$O$28,L8))</f>
        <v>23</v>
      </c>
      <c r="G8" s="9" t="n">
        <f aca="false">IF(L8="","",INDEX($P$6:$P$28,L8))</f>
        <v>7</v>
      </c>
      <c r="H8" s="7" t="n">
        <f aca="false">IF(L8="","",INDEX($R$6:$R$28,L8))</f>
        <v>45</v>
      </c>
      <c r="I8" s="9" t="str">
        <f aca="false">IF(L8="","",INDEX(Madde_Listesi!$F$2:$F$24,L8))</f>
        <v>Soğuk zincir ve sıcaklık kontrolü</v>
      </c>
      <c r="J8" s="9" t="str">
        <f aca="false">IF(L8="","",INDEX(Madde_Magaza!$B$1:$I$1,MATCH(MAX(INDEX(Madde_Magaza!$B$2:$I$24,L8,0)),INDEX(Madde_Magaza!$B$2:$I$24,L8,0),0)))</f>
        <v>Mağaza F</v>
      </c>
      <c r="L8" s="14" t="n">
        <f aca="false">IFERROR(MATCH(LARGE($S$6:$S$28,3),$S$6:$S$28,0),"")</f>
        <v>3</v>
      </c>
      <c r="N8" s="14" t="str">
        <f aca="false">Madde_Listesi!B4</f>
        <v>R-2.2</v>
      </c>
      <c r="O8" s="14" t="n">
        <f aca="false">COUNTIFS(Bulgular!$B$2:$B$570,N8,Bulgular!$J$2:$J$570,"İç denetim")</f>
        <v>23</v>
      </c>
      <c r="P8" s="14" t="n">
        <f aca="false">COUNTIFS(Bulgular!$B$2:$B$570,N8,Bulgular!$J$2:$J$570,"Esas denetim")</f>
        <v>7</v>
      </c>
      <c r="Q8" s="14" t="n">
        <f aca="false">O8+P8</f>
        <v>30</v>
      </c>
      <c r="R8" s="14" t="n">
        <f aca="false">Q8*INDEX(Ayarlar!$B$6:$B$8,MATCH(Madde_Listesi!E4,Ayarlar!$A$6:$A$8,0))</f>
        <v>45</v>
      </c>
      <c r="S8" s="14" t="n">
        <f aca="false">IF(OR($B$2="Tümü",Madde_Listesi!A4=$B$2),IF(Q8&gt;0,R8+ROW()/10000,""),"")</f>
        <v>45.0008</v>
      </c>
    </row>
    <row r="9" customFormat="false" ht="15" hidden="false" customHeight="false" outlineLevel="0" collapsed="false">
      <c r="A9" s="9" t="n">
        <f aca="false">IF(L9="","",4)</f>
        <v>4</v>
      </c>
      <c r="B9" s="9" t="str">
        <f aca="false">IF(L9="","",INDEX(Madde_Listesi!$B$2:$B$24,L9))</f>
        <v>R-4.3</v>
      </c>
      <c r="C9" s="9" t="str">
        <f aca="false">IF(L9="","",INDEX(Madde_Listesi!$C$2:$C$24,L9))</f>
        <v>Kimyasallar etiketli ve gıdadan ayrı saklanıyor</v>
      </c>
      <c r="D9" s="9" t="str">
        <f aca="false">IF(L9="","",INDEX(Madde_Listesi!$A$2:$A$24,L9))</f>
        <v>RSA</v>
      </c>
      <c r="E9" s="17" t="str">
        <f aca="false">IF(L9="","",INDEX(Madde_Listesi!$E$2:$E$24,L9))</f>
        <v>Major</v>
      </c>
      <c r="F9" s="9" t="n">
        <f aca="false">IF(L9="","",INDEX($O$6:$O$28,L9))</f>
        <v>16</v>
      </c>
      <c r="G9" s="9" t="n">
        <f aca="false">IF(L9="","",INDEX($P$6:$P$28,L9))</f>
        <v>2</v>
      </c>
      <c r="H9" s="7" t="n">
        <f aca="false">IF(L9="","",INDEX($R$6:$R$28,L9))</f>
        <v>27</v>
      </c>
      <c r="I9" s="9" t="str">
        <f aca="false">IF(L9="","",INDEX(Madde_Listesi!$F$2:$F$24,L9))</f>
        <v>Kimyasal güvenliği</v>
      </c>
      <c r="J9" s="9" t="str">
        <f aca="false">IF(L9="","",INDEX(Madde_Magaza!$B$1:$I$1,MATCH(MAX(INDEX(Madde_Magaza!$B$2:$I$24,L9,0)),INDEX(Madde_Magaza!$B$2:$I$24,L9,0),0)))</f>
        <v>Mağaza C</v>
      </c>
      <c r="L9" s="14" t="n">
        <f aca="false">IFERROR(MATCH(LARGE($S$6:$S$28,4),$S$6:$S$28,0),"")</f>
        <v>8</v>
      </c>
      <c r="N9" s="14" t="str">
        <f aca="false">Madde_Listesi!B5</f>
        <v>R-3.1</v>
      </c>
      <c r="O9" s="14" t="n">
        <f aca="false">COUNTIFS(Bulgular!$B$2:$B$570,N9,Bulgular!$J$2:$J$570,"İç denetim")</f>
        <v>4</v>
      </c>
      <c r="P9" s="14" t="n">
        <f aca="false">COUNTIFS(Bulgular!$B$2:$B$570,N9,Bulgular!$J$2:$J$570,"Esas denetim")</f>
        <v>0</v>
      </c>
      <c r="Q9" s="14" t="n">
        <f aca="false">O9+P9</f>
        <v>4</v>
      </c>
      <c r="R9" s="14" t="n">
        <f aca="false">Q9*INDEX(Ayarlar!$B$6:$B$8,MATCH(Madde_Listesi!E5,Ayarlar!$A$6:$A$8,0))</f>
        <v>6</v>
      </c>
      <c r="S9" s="14" t="n">
        <f aca="false">IF(OR($B$2="Tümü",Madde_Listesi!A5=$B$2),IF(Q9&gt;0,R9+ROW()/10000,""),"")</f>
        <v>6.0009</v>
      </c>
    </row>
    <row r="10" customFormat="false" ht="15" hidden="false" customHeight="false" outlineLevel="0" collapsed="false">
      <c r="A10" s="9" t="n">
        <f aca="false">IF(L10="","",5)</f>
        <v>5</v>
      </c>
      <c r="B10" s="9" t="str">
        <f aca="false">IF(L10="","",INDEX(Madde_Listesi!$B$2:$B$24,L10))</f>
        <v>A-1.1</v>
      </c>
      <c r="C10" s="9" t="str">
        <f aca="false">IF(L10="","",INDEX(Madde_Listesi!$C$2:$C$24,L10))</f>
        <v>Vardiya planı yoğunluğa uygun hazırlanmış</v>
      </c>
      <c r="D10" s="9" t="str">
        <f aca="false">IF(L10="","",INDEX(Madde_Listesi!$A$2:$A$24,L10))</f>
        <v>ASA</v>
      </c>
      <c r="E10" s="17" t="str">
        <f aca="false">IF(L10="","",INDEX(Madde_Listesi!$E$2:$E$24,L10))</f>
        <v>Major</v>
      </c>
      <c r="F10" s="9" t="n">
        <f aca="false">IF(L10="","",INDEX($O$6:$O$28,L10))</f>
        <v>12</v>
      </c>
      <c r="G10" s="9" t="n">
        <f aca="false">IF(L10="","",INDEX($P$6:$P$28,L10))</f>
        <v>4</v>
      </c>
      <c r="H10" s="7" t="n">
        <f aca="false">IF(L10="","",INDEX($R$6:$R$28,L10))</f>
        <v>24</v>
      </c>
      <c r="I10" s="9" t="str">
        <f aca="false">IF(L10="","",INDEX(Madde_Listesi!$F$2:$F$24,L10))</f>
        <v>Vardiya planlama</v>
      </c>
      <c r="J10" s="9" t="str">
        <f aca="false">IF(L10="","",INDEX(Madde_Magaza!$B$1:$I$1,MATCH(MAX(INDEX(Madde_Magaza!$B$2:$I$24,L10,0)),INDEX(Madde_Magaza!$B$2:$I$24,L10,0),0)))</f>
        <v>Mağaza G</v>
      </c>
      <c r="L10" s="14" t="n">
        <f aca="false">IFERROR(MATCH(LARGE($S$6:$S$28,5),$S$6:$S$28,0),"")</f>
        <v>10</v>
      </c>
      <c r="N10" s="14" t="str">
        <f aca="false">Madde_Listesi!B6</f>
        <v>R-3.2</v>
      </c>
      <c r="O10" s="14" t="n">
        <f aca="false">COUNTIFS(Bulgular!$B$2:$B$570,N10,Bulgular!$J$2:$J$570,"İç denetim")</f>
        <v>1</v>
      </c>
      <c r="P10" s="14" t="n">
        <f aca="false">COUNTIFS(Bulgular!$B$2:$B$570,N10,Bulgular!$J$2:$J$570,"Esas denetim")</f>
        <v>2</v>
      </c>
      <c r="Q10" s="14" t="n">
        <f aca="false">O10+P10</f>
        <v>3</v>
      </c>
      <c r="R10" s="14" t="n">
        <f aca="false">Q10*INDEX(Ayarlar!$B$6:$B$8,MATCH(Madde_Listesi!E6,Ayarlar!$A$6:$A$8,0))</f>
        <v>3</v>
      </c>
      <c r="S10" s="14" t="n">
        <f aca="false">IF(OR($B$2="Tümü",Madde_Listesi!A6=$B$2),IF(Q10&gt;0,R10+ROW()/10000,""),"")</f>
        <v>3.001</v>
      </c>
    </row>
    <row r="11" customFormat="false" ht="15" hidden="false" customHeight="false" outlineLevel="0" collapsed="false">
      <c r="A11" s="9" t="n">
        <f aca="false">IF(L11="","",6)</f>
        <v>6</v>
      </c>
      <c r="B11" s="9" t="str">
        <f aca="false">IF(L11="","",INDEX(Madde_Listesi!$B$2:$B$24,L11))</f>
        <v>R-4.1</v>
      </c>
      <c r="C11" s="9" t="str">
        <f aca="false">IF(L11="","",INDEX(Madde_Listesi!$C$2:$C$24,L11))</f>
        <v>Ürünlerin son kullanma tarihleri geçerli ve etiketli</v>
      </c>
      <c r="D11" s="9" t="str">
        <f aca="false">IF(L11="","",INDEX(Madde_Listesi!$A$2:$A$24,L11))</f>
        <v>RSA</v>
      </c>
      <c r="E11" s="17" t="str">
        <f aca="false">IF(L11="","",INDEX(Madde_Listesi!$E$2:$E$24,L11))</f>
        <v>Kritik</v>
      </c>
      <c r="F11" s="9" t="n">
        <f aca="false">IF(L11="","",INDEX($O$6:$O$28,L11))</f>
        <v>6</v>
      </c>
      <c r="G11" s="9" t="n">
        <f aca="false">IF(L11="","",INDEX($P$6:$P$28,L11))</f>
        <v>6</v>
      </c>
      <c r="H11" s="7" t="n">
        <f aca="false">IF(L11="","",INDEX($R$6:$R$28,L11))</f>
        <v>24</v>
      </c>
      <c r="I11" s="9" t="str">
        <f aca="false">IF(L11="","",INDEX(Madde_Listesi!$F$2:$F$24,L11))</f>
        <v>Ürün tarihleme ve etiketleme</v>
      </c>
      <c r="J11" s="9" t="str">
        <f aca="false">IF(L11="","",INDEX(Madde_Magaza!$B$1:$I$1,MATCH(MAX(INDEX(Madde_Magaza!$B$2:$I$24,L11,0)),INDEX(Madde_Magaza!$B$2:$I$24,L11,0),0)))</f>
        <v>Mağaza A</v>
      </c>
      <c r="L11" s="14" t="n">
        <f aca="false">IFERROR(MATCH(LARGE($S$6:$S$28,6),$S$6:$S$28,0),"")</f>
        <v>6</v>
      </c>
      <c r="N11" s="14" t="str">
        <f aca="false">Madde_Listesi!B7</f>
        <v>R-4.1</v>
      </c>
      <c r="O11" s="14" t="n">
        <f aca="false">COUNTIFS(Bulgular!$B$2:$B$570,N11,Bulgular!$J$2:$J$570,"İç denetim")</f>
        <v>6</v>
      </c>
      <c r="P11" s="14" t="n">
        <f aca="false">COUNTIFS(Bulgular!$B$2:$B$570,N11,Bulgular!$J$2:$J$570,"Esas denetim")</f>
        <v>6</v>
      </c>
      <c r="Q11" s="14" t="n">
        <f aca="false">O11+P11</f>
        <v>12</v>
      </c>
      <c r="R11" s="14" t="n">
        <f aca="false">Q11*INDEX(Ayarlar!$B$6:$B$8,MATCH(Madde_Listesi!E7,Ayarlar!$A$6:$A$8,0))</f>
        <v>24</v>
      </c>
      <c r="S11" s="14" t="n">
        <f aca="false">IF(OR($B$2="Tümü",Madde_Listesi!A7=$B$2),IF(Q11&gt;0,R11+ROW()/10000,""),"")</f>
        <v>24.0011</v>
      </c>
    </row>
    <row r="12" customFormat="false" ht="15" hidden="false" customHeight="false" outlineLevel="0" collapsed="false">
      <c r="A12" s="9" t="n">
        <f aca="false">IF(L12="","",7)</f>
        <v>7</v>
      </c>
      <c r="B12" s="9" t="str">
        <f aca="false">IF(L12="","",INDEX(Madde_Listesi!$B$2:$B$24,L12))</f>
        <v>P-3.1</v>
      </c>
      <c r="C12" s="9" t="str">
        <f aca="false">IF(L12="","",INDEX(Madde_Listesi!$C$2:$C$24,L12))</f>
        <v>Depo ve kasa anahtarları yetkili kişide</v>
      </c>
      <c r="D12" s="9" t="str">
        <f aca="false">IF(L12="","",INDEX(Madde_Listesi!$A$2:$A$24,L12))</f>
        <v>PAP</v>
      </c>
      <c r="E12" s="17" t="str">
        <f aca="false">IF(L12="","",INDEX(Madde_Listesi!$E$2:$E$24,L12))</f>
        <v>Major</v>
      </c>
      <c r="F12" s="9" t="n">
        <f aca="false">IF(L12="","",INDEX($O$6:$O$28,L12))</f>
        <v>12</v>
      </c>
      <c r="G12" s="9" t="n">
        <f aca="false">IF(L12="","",INDEX($P$6:$P$28,L12))</f>
        <v>3</v>
      </c>
      <c r="H12" s="7" t="n">
        <f aca="false">IF(L12="","",INDEX($R$6:$R$28,L12))</f>
        <v>22.5</v>
      </c>
      <c r="I12" s="9" t="str">
        <f aca="false">IF(L12="","",INDEX(Madde_Listesi!$F$2:$F$24,L12))</f>
        <v>Mağaza güvenliği</v>
      </c>
      <c r="J12" s="9" t="str">
        <f aca="false">IF(L12="","",INDEX(Madde_Magaza!$B$1:$I$1,MATCH(MAX(INDEX(Madde_Magaza!$B$2:$I$24,L12,0)),INDEX(Madde_Magaza!$B$2:$I$24,L12,0),0)))</f>
        <v>Mağaza D</v>
      </c>
      <c r="L12" s="14" t="n">
        <f aca="false">IFERROR(MATCH(LARGE($S$6:$S$28,7),$S$6:$S$28,0),"")</f>
        <v>21</v>
      </c>
      <c r="N12" s="14" t="str">
        <f aca="false">Madde_Listesi!B8</f>
        <v>R-4.2</v>
      </c>
      <c r="O12" s="14" t="n">
        <f aca="false">COUNTIFS(Bulgular!$B$2:$B$570,N12,Bulgular!$J$2:$J$570,"İç denetim")</f>
        <v>4</v>
      </c>
      <c r="P12" s="14" t="n">
        <f aca="false">COUNTIFS(Bulgular!$B$2:$B$570,N12,Bulgular!$J$2:$J$570,"Esas denetim")</f>
        <v>1</v>
      </c>
      <c r="Q12" s="14" t="n">
        <f aca="false">O12+P12</f>
        <v>5</v>
      </c>
      <c r="R12" s="14" t="n">
        <f aca="false">Q12*INDEX(Ayarlar!$B$6:$B$8,MATCH(Madde_Listesi!E8,Ayarlar!$A$6:$A$8,0))</f>
        <v>7.5</v>
      </c>
      <c r="S12" s="14" t="n">
        <f aca="false">IF(OR($B$2="Tümü",Madde_Listesi!A8=$B$2),IF(Q12&gt;0,R12+ROW()/10000,""),"")</f>
        <v>7.5012</v>
      </c>
    </row>
    <row r="13" customFormat="false" ht="15" hidden="false" customHeight="false" outlineLevel="0" collapsed="false">
      <c r="A13" s="9" t="n">
        <f aca="false">IF(L13="","",8)</f>
        <v>8</v>
      </c>
      <c r="B13" s="9" t="str">
        <f aca="false">IF(L13="","",INDEX(Madde_Listesi!$B$2:$B$24,L13))</f>
        <v>P-2.1</v>
      </c>
      <c r="C13" s="9" t="str">
        <f aca="false">IF(L13="","",INDEX(Madde_Listesi!$C$2:$C$24,L13))</f>
        <v>İptal ve iade işlemleri yönetici onaylı</v>
      </c>
      <c r="D13" s="9" t="str">
        <f aca="false">IF(L13="","",INDEX(Madde_Listesi!$A$2:$A$24,L13))</f>
        <v>PAP</v>
      </c>
      <c r="E13" s="17" t="str">
        <f aca="false">IF(L13="","",INDEX(Madde_Listesi!$E$2:$E$24,L13))</f>
        <v>Major</v>
      </c>
      <c r="F13" s="9" t="n">
        <f aca="false">IF(L13="","",INDEX($O$6:$O$28,L13))</f>
        <v>9</v>
      </c>
      <c r="G13" s="9" t="n">
        <f aca="false">IF(L13="","",INDEX($P$6:$P$28,L13))</f>
        <v>6</v>
      </c>
      <c r="H13" s="7" t="n">
        <f aca="false">IF(L13="","",INDEX($R$6:$R$28,L13))</f>
        <v>22.5</v>
      </c>
      <c r="I13" s="9" t="str">
        <f aca="false">IF(L13="","",INDEX(Madde_Listesi!$F$2:$F$24,L13))</f>
        <v>İptal ve iade süreçleri</v>
      </c>
      <c r="J13" s="9" t="str">
        <f aca="false">IF(L13="","",INDEX(Madde_Magaza!$B$1:$I$1,MATCH(MAX(INDEX(Madde_Magaza!$B$2:$I$24,L13,0)),INDEX(Madde_Magaza!$B$2:$I$24,L13,0),0)))</f>
        <v>Mağaza D</v>
      </c>
      <c r="L13" s="14" t="n">
        <f aca="false">IFERROR(MATCH(LARGE($S$6:$S$28,8),$S$6:$S$28,0),"")</f>
        <v>19</v>
      </c>
      <c r="N13" s="14" t="str">
        <f aca="false">Madde_Listesi!B9</f>
        <v>R-4.3</v>
      </c>
      <c r="O13" s="14" t="n">
        <f aca="false">COUNTIFS(Bulgular!$B$2:$B$570,N13,Bulgular!$J$2:$J$570,"İç denetim")</f>
        <v>16</v>
      </c>
      <c r="P13" s="14" t="n">
        <f aca="false">COUNTIFS(Bulgular!$B$2:$B$570,N13,Bulgular!$J$2:$J$570,"Esas denetim")</f>
        <v>2</v>
      </c>
      <c r="Q13" s="14" t="n">
        <f aca="false">O13+P13</f>
        <v>18</v>
      </c>
      <c r="R13" s="14" t="n">
        <f aca="false">Q13*INDEX(Ayarlar!$B$6:$B$8,MATCH(Madde_Listesi!E9,Ayarlar!$A$6:$A$8,0))</f>
        <v>27</v>
      </c>
      <c r="S13" s="14" t="n">
        <f aca="false">IF(OR($B$2="Tümü",Madde_Listesi!A9=$B$2),IF(Q13&gt;0,R13+ROW()/10000,""),"")</f>
        <v>27.0013</v>
      </c>
    </row>
    <row r="14" customFormat="false" ht="15" hidden="false" customHeight="false" outlineLevel="0" collapsed="false">
      <c r="A14" s="9" t="n">
        <f aca="false">IF(L14="","",9)</f>
        <v>9</v>
      </c>
      <c r="B14" s="9" t="str">
        <f aca="false">IF(L14="","",INDEX(Madde_Listesi!$B$2:$B$24,L14))</f>
        <v>R-1.2</v>
      </c>
      <c r="C14" s="9" t="str">
        <f aca="false">IF(L14="","",INDEX(Madde_Listesi!$C$2:$C$24,L14))</f>
        <v>Çalışan takı ve kişisel hijyen kurallarına uyuyor</v>
      </c>
      <c r="D14" s="9" t="str">
        <f aca="false">IF(L14="","",INDEX(Madde_Listesi!$A$2:$A$24,L14))</f>
        <v>RSA</v>
      </c>
      <c r="E14" s="17" t="str">
        <f aca="false">IF(L14="","",INDEX(Madde_Listesi!$E$2:$E$24,L14))</f>
        <v>Major</v>
      </c>
      <c r="F14" s="9" t="n">
        <f aca="false">IF(L14="","",INDEX($O$6:$O$28,L14))</f>
        <v>8</v>
      </c>
      <c r="G14" s="9" t="n">
        <f aca="false">IF(L14="","",INDEX($P$6:$P$28,L14))</f>
        <v>3</v>
      </c>
      <c r="H14" s="7" t="n">
        <f aca="false">IF(L14="","",INDEX($R$6:$R$28,L14))</f>
        <v>16.5</v>
      </c>
      <c r="I14" s="9" t="str">
        <f aca="false">IF(L14="","",INDEX(Madde_Listesi!$F$2:$F$24,L14))</f>
        <v>Kişisel hijyen</v>
      </c>
      <c r="J14" s="9" t="str">
        <f aca="false">IF(L14="","",INDEX(Madde_Magaza!$B$1:$I$1,MATCH(MAX(INDEX(Madde_Magaza!$B$2:$I$24,L14,0)),INDEX(Madde_Magaza!$B$2:$I$24,L14,0),0)))</f>
        <v>Mağaza D</v>
      </c>
      <c r="L14" s="14" t="n">
        <f aca="false">IFERROR(MATCH(LARGE($S$6:$S$28,9),$S$6:$S$28,0),"")</f>
        <v>1</v>
      </c>
      <c r="N14" s="14" t="str">
        <f aca="false">Madde_Listesi!B10</f>
        <v>R-4.4</v>
      </c>
      <c r="O14" s="14" t="n">
        <f aca="false">COUNTIFS(Bulgular!$B$2:$B$570,N14,Bulgular!$J$2:$J$570,"İç denetim")</f>
        <v>2</v>
      </c>
      <c r="P14" s="14" t="n">
        <f aca="false">COUNTIFS(Bulgular!$B$2:$B$570,N14,Bulgular!$J$2:$J$570,"Esas denetim")</f>
        <v>0</v>
      </c>
      <c r="Q14" s="14" t="n">
        <f aca="false">O14+P14</f>
        <v>2</v>
      </c>
      <c r="R14" s="14" t="n">
        <f aca="false">Q14*INDEX(Ayarlar!$B$6:$B$8,MATCH(Madde_Listesi!E10,Ayarlar!$A$6:$A$8,0))</f>
        <v>2</v>
      </c>
      <c r="S14" s="14" t="n">
        <f aca="false">IF(OR($B$2="Tümü",Madde_Listesi!A10=$B$2),IF(Q14&gt;0,R14+ROW()/10000,""),"")</f>
        <v>2.0014</v>
      </c>
    </row>
    <row r="15" customFormat="false" ht="15" hidden="false" customHeight="false" outlineLevel="0" collapsed="false">
      <c r="A15" s="9" t="n">
        <f aca="false">IF(L15="","",10)</f>
        <v>10</v>
      </c>
      <c r="B15" s="9" t="str">
        <f aca="false">IF(L15="","",INDEX(Madde_Listesi!$B$2:$B$24,L15))</f>
        <v>P-3.2</v>
      </c>
      <c r="C15" s="9" t="str">
        <f aca="false">IF(L15="","",INDEX(Madde_Listesi!$C$2:$C$24,L15))</f>
        <v>Kamera kayıtları erişilebilir ve süresi uygun</v>
      </c>
      <c r="D15" s="9" t="str">
        <f aca="false">IF(L15="","",INDEX(Madde_Listesi!$A$2:$A$24,L15))</f>
        <v>PAP</v>
      </c>
      <c r="E15" s="17" t="str">
        <f aca="false">IF(L15="","",INDEX(Madde_Listesi!$E$2:$E$24,L15))</f>
        <v>Minör</v>
      </c>
      <c r="F15" s="9" t="n">
        <f aca="false">IF(L15="","",INDEX($O$6:$O$28,L15))</f>
        <v>10</v>
      </c>
      <c r="G15" s="9" t="n">
        <f aca="false">IF(L15="","",INDEX($P$6:$P$28,L15))</f>
        <v>5</v>
      </c>
      <c r="H15" s="7" t="n">
        <f aca="false">IF(L15="","",INDEX($R$6:$R$28,L15))</f>
        <v>15</v>
      </c>
      <c r="I15" s="9" t="str">
        <f aca="false">IF(L15="","",INDEX(Madde_Listesi!$F$2:$F$24,L15))</f>
        <v>Mağaza güvenliği</v>
      </c>
      <c r="J15" s="9" t="str">
        <f aca="false">IF(L15="","",INDEX(Madde_Magaza!$B$1:$I$1,MATCH(MAX(INDEX(Madde_Magaza!$B$2:$I$24,L15,0)),INDEX(Madde_Magaza!$B$2:$I$24,L15,0),0)))</f>
        <v>Mağaza D</v>
      </c>
      <c r="L15" s="14" t="n">
        <f aca="false">IFERROR(MATCH(LARGE($S$6:$S$28,10),$S$6:$S$28,0),"")</f>
        <v>22</v>
      </c>
      <c r="N15" s="14" t="str">
        <f aca="false">Madde_Listesi!B11</f>
        <v>A-1.1</v>
      </c>
      <c r="O15" s="14" t="n">
        <f aca="false">COUNTIFS(Bulgular!$B$2:$B$570,N15,Bulgular!$J$2:$J$570,"İç denetim")</f>
        <v>12</v>
      </c>
      <c r="P15" s="14" t="n">
        <f aca="false">COUNTIFS(Bulgular!$B$2:$B$570,N15,Bulgular!$J$2:$J$570,"Esas denetim")</f>
        <v>4</v>
      </c>
      <c r="Q15" s="14" t="n">
        <f aca="false">O15+P15</f>
        <v>16</v>
      </c>
      <c r="R15" s="14" t="n">
        <f aca="false">Q15*INDEX(Ayarlar!$B$6:$B$8,MATCH(Madde_Listesi!E11,Ayarlar!$A$6:$A$8,0))</f>
        <v>24</v>
      </c>
      <c r="S15" s="14" t="n">
        <f aca="false">IF(OR($B$2="Tümü",Madde_Listesi!A11=$B$2),IF(Q15&gt;0,R15+ROW()/10000,""),"")</f>
        <v>24.0015</v>
      </c>
    </row>
    <row r="16" customFormat="false" ht="15" hidden="false" customHeight="false" outlineLevel="0" collapsed="false">
      <c r="A16" s="9" t="n">
        <f aca="false">IF(L16="","",11)</f>
        <v>11</v>
      </c>
      <c r="B16" s="9" t="str">
        <f aca="false">IF(L16="","",INDEX(Madde_Listesi!$B$2:$B$24,L16))</f>
        <v>A-4.1</v>
      </c>
      <c r="C16" s="9" t="str">
        <f aca="false">IF(L16="","",INDEX(Madde_Listesi!$C$2:$C$24,L16))</f>
        <v>Zorunlu eğitimler tamamlanmış</v>
      </c>
      <c r="D16" s="9" t="str">
        <f aca="false">IF(L16="","",INDEX(Madde_Listesi!$A$2:$A$24,L16))</f>
        <v>ASA</v>
      </c>
      <c r="E16" s="17" t="str">
        <f aca="false">IF(L16="","",INDEX(Madde_Listesi!$E$2:$E$24,L16))</f>
        <v>Major</v>
      </c>
      <c r="F16" s="9" t="n">
        <f aca="false">IF(L16="","",INDEX($O$6:$O$28,L16))</f>
        <v>5</v>
      </c>
      <c r="G16" s="9" t="n">
        <f aca="false">IF(L16="","",INDEX($P$6:$P$28,L16))</f>
        <v>5</v>
      </c>
      <c r="H16" s="7" t="n">
        <f aca="false">IF(L16="","",INDEX($R$6:$R$28,L16))</f>
        <v>15</v>
      </c>
      <c r="I16" s="9" t="str">
        <f aca="false">IF(L16="","",INDEX(Madde_Listesi!$F$2:$F$24,L16))</f>
        <v>Eğitim takibi</v>
      </c>
      <c r="J16" s="9" t="str">
        <f aca="false">IF(L16="","",INDEX(Madde_Magaza!$B$1:$I$1,MATCH(MAX(INDEX(Madde_Magaza!$B$2:$I$24,L16,0)),INDEX(Madde_Magaza!$B$2:$I$24,L16,0),0)))</f>
        <v>Mağaza F</v>
      </c>
      <c r="L16" s="14" t="n">
        <f aca="false">IFERROR(MATCH(LARGE($S$6:$S$28,11),$S$6:$S$28,0),"")</f>
        <v>16</v>
      </c>
      <c r="N16" s="14" t="str">
        <f aca="false">Madde_Listesi!B12</f>
        <v>A-1.2</v>
      </c>
      <c r="O16" s="14" t="n">
        <f aca="false">COUNTIFS(Bulgular!$B$2:$B$570,N16,Bulgular!$J$2:$J$570,"İç denetim")</f>
        <v>4</v>
      </c>
      <c r="P16" s="14" t="n">
        <f aca="false">COUNTIFS(Bulgular!$B$2:$B$570,N16,Bulgular!$J$2:$J$570,"Esas denetim")</f>
        <v>2</v>
      </c>
      <c r="Q16" s="14" t="n">
        <f aca="false">O16+P16</f>
        <v>6</v>
      </c>
      <c r="R16" s="14" t="n">
        <f aca="false">Q16*INDEX(Ayarlar!$B$6:$B$8,MATCH(Madde_Listesi!E12,Ayarlar!$A$6:$A$8,0))</f>
        <v>12</v>
      </c>
      <c r="S16" s="14" t="n">
        <f aca="false">IF(OR($B$2="Tümü",Madde_Listesi!A12=$B$2),IF(Q16&gt;0,R16+ROW()/10000,""),"")</f>
        <v>12.0016</v>
      </c>
    </row>
    <row r="17" customFormat="false" ht="15" hidden="false" customHeight="false" outlineLevel="0" collapsed="false">
      <c r="A17" s="9" t="n">
        <f aca="false">IF(L17="","",12)</f>
        <v>12</v>
      </c>
      <c r="B17" s="9" t="str">
        <f aca="false">IF(L17="","",INDEX(Madde_Listesi!$B$2:$B$24,L17))</f>
        <v>P-4.1</v>
      </c>
      <c r="C17" s="9" t="str">
        <f aca="false">IF(L17="","",INDEX(Madde_Listesi!$C$2:$C$24,L17))</f>
        <v>Fire ve zayi kayıtları belgeli</v>
      </c>
      <c r="D17" s="9" t="str">
        <f aca="false">IF(L17="","",INDEX(Madde_Listesi!$A$2:$A$24,L17))</f>
        <v>PAP</v>
      </c>
      <c r="E17" s="17" t="str">
        <f aca="false">IF(L17="","",INDEX(Madde_Listesi!$E$2:$E$24,L17))</f>
        <v>Major</v>
      </c>
      <c r="F17" s="9" t="n">
        <f aca="false">IF(L17="","",INDEX($O$6:$O$28,L17))</f>
        <v>7</v>
      </c>
      <c r="G17" s="9" t="n">
        <f aca="false">IF(L17="","",INDEX($P$6:$P$28,L17))</f>
        <v>2</v>
      </c>
      <c r="H17" s="7" t="n">
        <f aca="false">IF(L17="","",INDEX($R$6:$R$28,L17))</f>
        <v>13.5</v>
      </c>
      <c r="I17" s="9" t="str">
        <f aca="false">IF(L17="","",INDEX(Madde_Listesi!$F$2:$F$24,L17))</f>
        <v>Stok ve sipariş yönetimi</v>
      </c>
      <c r="J17" s="9" t="str">
        <f aca="false">IF(L17="","",INDEX(Madde_Magaza!$B$1:$I$1,MATCH(MAX(INDEX(Madde_Magaza!$B$2:$I$24,L17,0)),INDEX(Madde_Magaza!$B$2:$I$24,L17,0),0)))</f>
        <v>Mağaza D</v>
      </c>
      <c r="L17" s="14" t="n">
        <f aca="false">IFERROR(MATCH(LARGE($S$6:$S$28,12),$S$6:$S$28,0),"")</f>
        <v>23</v>
      </c>
      <c r="N17" s="14" t="str">
        <f aca="false">Madde_Listesi!B13</f>
        <v>A-2.1</v>
      </c>
      <c r="O17" s="14" t="n">
        <f aca="false">COUNTIFS(Bulgular!$B$2:$B$570,N17,Bulgular!$J$2:$J$570,"İç denetim")</f>
        <v>7</v>
      </c>
      <c r="P17" s="14" t="n">
        <f aca="false">COUNTIFS(Bulgular!$B$2:$B$570,N17,Bulgular!$J$2:$J$570,"Esas denetim")</f>
        <v>1</v>
      </c>
      <c r="Q17" s="14" t="n">
        <f aca="false">O17+P17</f>
        <v>8</v>
      </c>
      <c r="R17" s="14" t="n">
        <f aca="false">Q17*INDEX(Ayarlar!$B$6:$B$8,MATCH(Madde_Listesi!E13,Ayarlar!$A$6:$A$8,0))</f>
        <v>8</v>
      </c>
      <c r="S17" s="14" t="n">
        <f aca="false">IF(OR($B$2="Tümü",Madde_Listesi!A13=$B$2),IF(Q17&gt;0,R17+ROW()/10000,""),"")</f>
        <v>8.0017</v>
      </c>
    </row>
    <row r="18" customFormat="false" ht="15" hidden="false" customHeight="false" outlineLevel="0" collapsed="false">
      <c r="A18" s="9" t="n">
        <f aca="false">IF(L18="","",13)</f>
        <v>13</v>
      </c>
      <c r="B18" s="9" t="str">
        <f aca="false">IF(L18="","",INDEX(Madde_Listesi!$B$2:$B$24,L18))</f>
        <v>A-1.2</v>
      </c>
      <c r="C18" s="9" t="str">
        <f aca="false">IF(L18="","",INDEX(Madde_Listesi!$C$2:$C$24,L18))</f>
        <v>Kasa açılış-kapanış prosedürü uygulanıyor</v>
      </c>
      <c r="D18" s="9" t="str">
        <f aca="false">IF(L18="","",INDEX(Madde_Listesi!$A$2:$A$24,L18))</f>
        <v>ASA</v>
      </c>
      <c r="E18" s="17" t="str">
        <f aca="false">IF(L18="","",INDEX(Madde_Listesi!$E$2:$E$24,L18))</f>
        <v>Kritik</v>
      </c>
      <c r="F18" s="9" t="n">
        <f aca="false">IF(L18="","",INDEX($O$6:$O$28,L18))</f>
        <v>4</v>
      </c>
      <c r="G18" s="9" t="n">
        <f aca="false">IF(L18="","",INDEX($P$6:$P$28,L18))</f>
        <v>2</v>
      </c>
      <c r="H18" s="7" t="n">
        <f aca="false">IF(L18="","",INDEX($R$6:$R$28,L18))</f>
        <v>12</v>
      </c>
      <c r="I18" s="9" t="str">
        <f aca="false">IF(L18="","",INDEX(Madde_Listesi!$F$2:$F$24,L18))</f>
        <v>Kasa prosedürleri</v>
      </c>
      <c r="J18" s="9" t="str">
        <f aca="false">IF(L18="","",INDEX(Madde_Magaza!$B$1:$I$1,MATCH(MAX(INDEX(Madde_Magaza!$B$2:$I$24,L18,0)),INDEX(Madde_Magaza!$B$2:$I$24,L18,0),0)))</f>
        <v>Mağaza B</v>
      </c>
      <c r="L18" s="14" t="n">
        <f aca="false">IFERROR(MATCH(LARGE($S$6:$S$28,13),$S$6:$S$28,0),"")</f>
        <v>11</v>
      </c>
      <c r="N18" s="14" t="str">
        <f aca="false">Madde_Listesi!B14</f>
        <v>A-2.2</v>
      </c>
      <c r="O18" s="14" t="n">
        <f aca="false">COUNTIFS(Bulgular!$B$2:$B$570,N18,Bulgular!$J$2:$J$570,"İç denetim")</f>
        <v>1</v>
      </c>
      <c r="P18" s="14" t="n">
        <f aca="false">COUNTIFS(Bulgular!$B$2:$B$570,N18,Bulgular!$J$2:$J$570,"Esas denetim")</f>
        <v>1</v>
      </c>
      <c r="Q18" s="14" t="n">
        <f aca="false">O18+P18</f>
        <v>2</v>
      </c>
      <c r="R18" s="14" t="n">
        <f aca="false">Q18*INDEX(Ayarlar!$B$6:$B$8,MATCH(Madde_Listesi!E14,Ayarlar!$A$6:$A$8,0))</f>
        <v>3</v>
      </c>
      <c r="S18" s="14" t="n">
        <f aca="false">IF(OR($B$2="Tümü",Madde_Listesi!A14=$B$2),IF(Q18&gt;0,R18+ROW()/10000,""),"")</f>
        <v>3.0018</v>
      </c>
    </row>
    <row r="19" customFormat="false" ht="15" hidden="false" customHeight="false" outlineLevel="0" collapsed="false">
      <c r="A19" s="9" t="n">
        <f aca="false">IF(L19="","",14)</f>
        <v>14</v>
      </c>
      <c r="B19" s="9" t="str">
        <f aca="false">IF(L19="","",INDEX(Madde_Listesi!$B$2:$B$24,L19))</f>
        <v>R-2.1</v>
      </c>
      <c r="C19" s="9" t="str">
        <f aca="false">IF(L19="","",INDEX(Madde_Listesi!$C$2:$C$24,L19))</f>
        <v>Soğutucular uygun sıcaklıkta</v>
      </c>
      <c r="D19" s="9" t="str">
        <f aca="false">IF(L19="","",INDEX(Madde_Listesi!$A$2:$A$24,L19))</f>
        <v>RSA</v>
      </c>
      <c r="E19" s="17" t="str">
        <f aca="false">IF(L19="","",INDEX(Madde_Listesi!$E$2:$E$24,L19))</f>
        <v>Kritik</v>
      </c>
      <c r="F19" s="9" t="n">
        <f aca="false">IF(L19="","",INDEX($O$6:$O$28,L19))</f>
        <v>4</v>
      </c>
      <c r="G19" s="9" t="n">
        <f aca="false">IF(L19="","",INDEX($P$6:$P$28,L19))</f>
        <v>2</v>
      </c>
      <c r="H19" s="7" t="n">
        <f aca="false">IF(L19="","",INDEX($R$6:$R$28,L19))</f>
        <v>12</v>
      </c>
      <c r="I19" s="9" t="str">
        <f aca="false">IF(L19="","",INDEX(Madde_Listesi!$F$2:$F$24,L19))</f>
        <v>Soğuk zincir ve sıcaklık kontrolü</v>
      </c>
      <c r="J19" s="9" t="str">
        <f aca="false">IF(L19="","",INDEX(Madde_Magaza!$B$1:$I$1,MATCH(MAX(INDEX(Madde_Magaza!$B$2:$I$24,L19,0)),INDEX(Madde_Magaza!$B$2:$I$24,L19,0),0)))</f>
        <v>Mağaza A</v>
      </c>
      <c r="L19" s="14" t="n">
        <f aca="false">IFERROR(MATCH(LARGE($S$6:$S$28,14),$S$6:$S$28,0),"")</f>
        <v>2</v>
      </c>
      <c r="N19" s="14" t="str">
        <f aca="false">Madde_Listesi!B15</f>
        <v>A-3.1</v>
      </c>
      <c r="O19" s="14" t="n">
        <f aca="false">COUNTIFS(Bulgular!$B$2:$B$570,N19,Bulgular!$J$2:$J$570,"İç denetim")</f>
        <v>7</v>
      </c>
      <c r="P19" s="14" t="n">
        <f aca="false">COUNTIFS(Bulgular!$B$2:$B$570,N19,Bulgular!$J$2:$J$570,"Esas denetim")</f>
        <v>1</v>
      </c>
      <c r="Q19" s="14" t="n">
        <f aca="false">O19+P19</f>
        <v>8</v>
      </c>
      <c r="R19" s="14" t="n">
        <f aca="false">Q19*INDEX(Ayarlar!$B$6:$B$8,MATCH(Madde_Listesi!E15,Ayarlar!$A$6:$A$8,0))</f>
        <v>8</v>
      </c>
      <c r="S19" s="14" t="n">
        <f aca="false">IF(OR($B$2="Tümü",Madde_Listesi!A15=$B$2),IF(Q19&gt;0,R19+ROW()/10000,""),"")</f>
        <v>8.0019</v>
      </c>
    </row>
    <row r="20" customFormat="false" ht="15" hidden="false" customHeight="false" outlineLevel="0" collapsed="false">
      <c r="A20" s="9" t="n">
        <f aca="false">IF(L20="","",15)</f>
        <v>15</v>
      </c>
      <c r="B20" s="9" t="str">
        <f aca="false">IF(L20="","",INDEX(Madde_Listesi!$B$2:$B$24,L20))</f>
        <v>P-2.2</v>
      </c>
      <c r="C20" s="9" t="str">
        <f aca="false">IF(L20="","",INDEX(Madde_Listesi!$C$2:$C$24,L20))</f>
        <v>Personel indirimleri kurala uygun kullanılıyor</v>
      </c>
      <c r="D20" s="9" t="str">
        <f aca="false">IF(L20="","",INDEX(Madde_Listesi!$A$2:$A$24,L20))</f>
        <v>PAP</v>
      </c>
      <c r="E20" s="17" t="str">
        <f aca="false">IF(L20="","",INDEX(Madde_Listesi!$E$2:$E$24,L20))</f>
        <v>Minör</v>
      </c>
      <c r="F20" s="9" t="n">
        <f aca="false">IF(L20="","",INDEX($O$6:$O$28,L20))</f>
        <v>5</v>
      </c>
      <c r="G20" s="9" t="n">
        <f aca="false">IF(L20="","",INDEX($P$6:$P$28,L20))</f>
        <v>6</v>
      </c>
      <c r="H20" s="7" t="n">
        <f aca="false">IF(L20="","",INDEX($R$6:$R$28,L20))</f>
        <v>11</v>
      </c>
      <c r="I20" s="9" t="str">
        <f aca="false">IF(L20="","",INDEX(Madde_Listesi!$F$2:$F$24,L20))</f>
        <v>İptal ve iade süreçleri</v>
      </c>
      <c r="J20" s="9" t="str">
        <f aca="false">IF(L20="","",INDEX(Madde_Magaza!$B$1:$I$1,MATCH(MAX(INDEX(Madde_Magaza!$B$2:$I$24,L20,0)),INDEX(Madde_Magaza!$B$2:$I$24,L20,0),0)))</f>
        <v>Mağaza F</v>
      </c>
      <c r="L20" s="14" t="n">
        <f aca="false">IFERROR(MATCH(LARGE($S$6:$S$28,15),$S$6:$S$28,0),"")</f>
        <v>20</v>
      </c>
      <c r="N20" s="14" t="str">
        <f aca="false">Madde_Listesi!B16</f>
        <v>A-3.2</v>
      </c>
      <c r="O20" s="14" t="n">
        <f aca="false">COUNTIFS(Bulgular!$B$2:$B$570,N20,Bulgular!$J$2:$J$570,"İç denetim")</f>
        <v>19</v>
      </c>
      <c r="P20" s="14" t="n">
        <f aca="false">COUNTIFS(Bulgular!$B$2:$B$570,N20,Bulgular!$J$2:$J$570,"Esas denetim")</f>
        <v>11</v>
      </c>
      <c r="Q20" s="14" t="n">
        <f aca="false">O20+P20</f>
        <v>30</v>
      </c>
      <c r="R20" s="14" t="n">
        <f aca="false">Q20*INDEX(Ayarlar!$B$6:$B$8,MATCH(Madde_Listesi!E16,Ayarlar!$A$6:$A$8,0))</f>
        <v>45</v>
      </c>
      <c r="S20" s="14" t="n">
        <f aca="false">IF(OR($B$2="Tümü",Madde_Listesi!A16=$B$2),IF(Q20&gt;0,R20+ROW()/10000,""),"")</f>
        <v>45.002</v>
      </c>
    </row>
    <row r="21" customFormat="false" ht="15" hidden="false" customHeight="false" outlineLevel="0" collapsed="false">
      <c r="N21" s="14" t="str">
        <f aca="false">Madde_Listesi!B17</f>
        <v>A-4.1</v>
      </c>
      <c r="O21" s="14" t="n">
        <f aca="false">COUNTIFS(Bulgular!$B$2:$B$570,N21,Bulgular!$J$2:$J$570,"İç denetim")</f>
        <v>5</v>
      </c>
      <c r="P21" s="14" t="n">
        <f aca="false">COUNTIFS(Bulgular!$B$2:$B$570,N21,Bulgular!$J$2:$J$570,"Esas denetim")</f>
        <v>5</v>
      </c>
      <c r="Q21" s="14" t="n">
        <f aca="false">O21+P21</f>
        <v>10</v>
      </c>
      <c r="R21" s="14" t="n">
        <f aca="false">Q21*INDEX(Ayarlar!$B$6:$B$8,MATCH(Madde_Listesi!E17,Ayarlar!$A$6:$A$8,0))</f>
        <v>15</v>
      </c>
      <c r="S21" s="14" t="n">
        <f aca="false">IF(OR($B$2="Tümü",Madde_Listesi!A17=$B$2),IF(Q21&gt;0,R21+ROW()/10000,""),"")</f>
        <v>15.0021</v>
      </c>
    </row>
    <row r="22" customFormat="false" ht="15" hidden="false" customHeight="false" outlineLevel="0" collapsed="false">
      <c r="N22" s="14" t="str">
        <f aca="false">Madde_Listesi!B18</f>
        <v>P-1.1</v>
      </c>
      <c r="O22" s="14" t="n">
        <f aca="false">COUNTIFS(Bulgular!$B$2:$B$570,N22,Bulgular!$J$2:$J$570,"İç denetim")</f>
        <v>21</v>
      </c>
      <c r="P22" s="14" t="n">
        <f aca="false">COUNTIFS(Bulgular!$B$2:$B$570,N22,Bulgular!$J$2:$J$570,"Esas denetim")</f>
        <v>7</v>
      </c>
      <c r="Q22" s="14" t="n">
        <f aca="false">O22+P22</f>
        <v>28</v>
      </c>
      <c r="R22" s="14" t="n">
        <f aca="false">Q22*INDEX(Ayarlar!$B$6:$B$8,MATCH(Madde_Listesi!E18,Ayarlar!$A$6:$A$8,0))</f>
        <v>56</v>
      </c>
      <c r="S22" s="14" t="n">
        <f aca="false">IF(OR($B$2="Tümü",Madde_Listesi!A18=$B$2),IF(Q22&gt;0,R22+ROW()/10000,""),"")</f>
        <v>56.0022</v>
      </c>
    </row>
    <row r="23" customFormat="false" ht="15" hidden="false" customHeight="false" outlineLevel="0" collapsed="false">
      <c r="A23" s="4" t="s">
        <v>57</v>
      </c>
      <c r="N23" s="14" t="str">
        <f aca="false">Madde_Listesi!B19</f>
        <v>P-1.2</v>
      </c>
      <c r="O23" s="14" t="n">
        <f aca="false">COUNTIFS(Bulgular!$B$2:$B$570,N23,Bulgular!$J$2:$J$570,"İç denetim")</f>
        <v>2</v>
      </c>
      <c r="P23" s="14" t="n">
        <f aca="false">COUNTIFS(Bulgular!$B$2:$B$570,N23,Bulgular!$J$2:$J$570,"Esas denetim")</f>
        <v>3</v>
      </c>
      <c r="Q23" s="14" t="n">
        <f aca="false">O23+P23</f>
        <v>5</v>
      </c>
      <c r="R23" s="14" t="n">
        <f aca="false">Q23*INDEX(Ayarlar!$B$6:$B$8,MATCH(Madde_Listesi!E19,Ayarlar!$A$6:$A$8,0))</f>
        <v>7.5</v>
      </c>
      <c r="S23" s="14" t="n">
        <f aca="false">IF(OR($B$2="Tümü",Madde_Listesi!A19=$B$2),IF(Q23&gt;0,R23+ROW()/10000,""),"")</f>
        <v>7.5023</v>
      </c>
    </row>
    <row r="24" customFormat="false" ht="30" hidden="false" customHeight="true" outlineLevel="0" collapsed="false">
      <c r="A24" s="5"/>
      <c r="B24" s="5" t="s">
        <v>51</v>
      </c>
      <c r="C24" s="5"/>
      <c r="D24" s="5" t="s">
        <v>58</v>
      </c>
      <c r="E24" s="5" t="s">
        <v>50</v>
      </c>
      <c r="N24" s="14" t="str">
        <f aca="false">Madde_Listesi!B20</f>
        <v>P-2.1</v>
      </c>
      <c r="O24" s="14" t="n">
        <f aca="false">COUNTIFS(Bulgular!$B$2:$B$570,N24,Bulgular!$J$2:$J$570,"İç denetim")</f>
        <v>9</v>
      </c>
      <c r="P24" s="14" t="n">
        <f aca="false">COUNTIFS(Bulgular!$B$2:$B$570,N24,Bulgular!$J$2:$J$570,"Esas denetim")</f>
        <v>6</v>
      </c>
      <c r="Q24" s="14" t="n">
        <f aca="false">O24+P24</f>
        <v>15</v>
      </c>
      <c r="R24" s="14" t="n">
        <f aca="false">Q24*INDEX(Ayarlar!$B$6:$B$8,MATCH(Madde_Listesi!E20,Ayarlar!$A$6:$A$8,0))</f>
        <v>22.5</v>
      </c>
      <c r="S24" s="14" t="n">
        <f aca="false">IF(OR($B$2="Tümü",Madde_Listesi!A20=$B$2),IF(Q24&gt;0,R24+ROW()/10000,""),"")</f>
        <v>22.5024</v>
      </c>
    </row>
    <row r="25" customFormat="false" ht="15" hidden="false" customHeight="false" outlineLevel="0" collapsed="false">
      <c r="B25" s="17" t="s">
        <v>59</v>
      </c>
      <c r="C25" s="17"/>
      <c r="D25" s="9" t="n">
        <f aca="false">COUNTIF(Bulgular!$G$2:$G$570,B25)</f>
        <v>8</v>
      </c>
      <c r="E25" s="7" t="n">
        <f aca="false">SUMPRODUCT((Bulgular!$G$2:$G$570=B25)*((Bulgular!$F$2:$F$570="Kritik")*Ayarlar!$B$6+(Bulgular!$F$2:$F$570="Major")*Ayarlar!$B$7+(Bulgular!$F$2:$F$570="Minör")*Ayarlar!$B$8))</f>
        <v>8</v>
      </c>
      <c r="N25" s="14" t="str">
        <f aca="false">Madde_Listesi!B21</f>
        <v>P-2.2</v>
      </c>
      <c r="O25" s="14" t="n">
        <f aca="false">COUNTIFS(Bulgular!$B$2:$B$570,N25,Bulgular!$J$2:$J$570,"İç denetim")</f>
        <v>5</v>
      </c>
      <c r="P25" s="14" t="n">
        <f aca="false">COUNTIFS(Bulgular!$B$2:$B$570,N25,Bulgular!$J$2:$J$570,"Esas denetim")</f>
        <v>6</v>
      </c>
      <c r="Q25" s="14" t="n">
        <f aca="false">O25+P25</f>
        <v>11</v>
      </c>
      <c r="R25" s="14" t="n">
        <f aca="false">Q25*INDEX(Ayarlar!$B$6:$B$8,MATCH(Madde_Listesi!E21,Ayarlar!$A$6:$A$8,0))</f>
        <v>11</v>
      </c>
      <c r="S25" s="14" t="n">
        <f aca="false">IF(OR($B$2="Tümü",Madde_Listesi!A21=$B$2),IF(Q25&gt;0,R25+ROW()/10000,""),"")</f>
        <v>11.0025</v>
      </c>
    </row>
    <row r="26" customFormat="false" ht="15" hidden="false" customHeight="false" outlineLevel="0" collapsed="false">
      <c r="B26" s="17" t="s">
        <v>60</v>
      </c>
      <c r="C26" s="17"/>
      <c r="D26" s="9" t="n">
        <f aca="false">COUNTIF(Bulgular!$G$2:$G$570,B26)</f>
        <v>10</v>
      </c>
      <c r="E26" s="7" t="n">
        <f aca="false">SUMPRODUCT((Bulgular!$G$2:$G$570=B26)*((Bulgular!$F$2:$F$570="Kritik")*Ayarlar!$B$6+(Bulgular!$F$2:$F$570="Major")*Ayarlar!$B$7+(Bulgular!$F$2:$F$570="Minör")*Ayarlar!$B$8))</f>
        <v>15</v>
      </c>
      <c r="N26" s="14" t="str">
        <f aca="false">Madde_Listesi!B22</f>
        <v>P-3.1</v>
      </c>
      <c r="O26" s="14" t="n">
        <f aca="false">COUNTIFS(Bulgular!$B$2:$B$570,N26,Bulgular!$J$2:$J$570,"İç denetim")</f>
        <v>12</v>
      </c>
      <c r="P26" s="14" t="n">
        <f aca="false">COUNTIFS(Bulgular!$B$2:$B$570,N26,Bulgular!$J$2:$J$570,"Esas denetim")</f>
        <v>3</v>
      </c>
      <c r="Q26" s="14" t="n">
        <f aca="false">O26+P26</f>
        <v>15</v>
      </c>
      <c r="R26" s="14" t="n">
        <f aca="false">Q26*INDEX(Ayarlar!$B$6:$B$8,MATCH(Madde_Listesi!E22,Ayarlar!$A$6:$A$8,0))</f>
        <v>22.5</v>
      </c>
      <c r="S26" s="14" t="n">
        <f aca="false">IF(OR($B$2="Tümü",Madde_Listesi!A22=$B$2),IF(Q26&gt;0,R26+ROW()/10000,""),"")</f>
        <v>22.5026</v>
      </c>
    </row>
    <row r="27" customFormat="false" ht="15" hidden="false" customHeight="false" outlineLevel="0" collapsed="false">
      <c r="B27" s="17" t="s">
        <v>61</v>
      </c>
      <c r="C27" s="17"/>
      <c r="D27" s="9" t="n">
        <f aca="false">COUNTIF(Bulgular!$G$2:$G$570,B27)</f>
        <v>7</v>
      </c>
      <c r="E27" s="7" t="n">
        <f aca="false">SUMPRODUCT((Bulgular!$G$2:$G$570=B27)*((Bulgular!$F$2:$F$570="Kritik")*Ayarlar!$B$6+(Bulgular!$F$2:$F$570="Major")*Ayarlar!$B$7+(Bulgular!$F$2:$F$570="Minör")*Ayarlar!$B$8))</f>
        <v>9</v>
      </c>
      <c r="N27" s="14" t="str">
        <f aca="false">Madde_Listesi!B23</f>
        <v>P-3.2</v>
      </c>
      <c r="O27" s="14" t="n">
        <f aca="false">COUNTIFS(Bulgular!$B$2:$B$570,N27,Bulgular!$J$2:$J$570,"İç denetim")</f>
        <v>10</v>
      </c>
      <c r="P27" s="14" t="n">
        <f aca="false">COUNTIFS(Bulgular!$B$2:$B$570,N27,Bulgular!$J$2:$J$570,"Esas denetim")</f>
        <v>5</v>
      </c>
      <c r="Q27" s="14" t="n">
        <f aca="false">O27+P27</f>
        <v>15</v>
      </c>
      <c r="R27" s="14" t="n">
        <f aca="false">Q27*INDEX(Ayarlar!$B$6:$B$8,MATCH(Madde_Listesi!E23,Ayarlar!$A$6:$A$8,0))</f>
        <v>15</v>
      </c>
      <c r="S27" s="14" t="n">
        <f aca="false">IF(OR($B$2="Tümü",Madde_Listesi!A23=$B$2),IF(Q27&gt;0,R27+ROW()/10000,""),"")</f>
        <v>15.0027</v>
      </c>
    </row>
    <row r="28" customFormat="false" ht="15" hidden="false" customHeight="false" outlineLevel="0" collapsed="false">
      <c r="B28" s="17" t="s">
        <v>62</v>
      </c>
      <c r="C28" s="17"/>
      <c r="D28" s="9" t="n">
        <f aca="false">COUNTIF(Bulgular!$G$2:$G$570,B28)</f>
        <v>39</v>
      </c>
      <c r="E28" s="7" t="n">
        <f aca="false">SUMPRODUCT((Bulgular!$G$2:$G$570=B28)*((Bulgular!$F$2:$F$570="Kritik")*Ayarlar!$B$6+(Bulgular!$F$2:$F$570="Major")*Ayarlar!$B$7+(Bulgular!$F$2:$F$570="Minör")*Ayarlar!$B$8))</f>
        <v>75.5</v>
      </c>
      <c r="N28" s="14" t="str">
        <f aca="false">Madde_Listesi!B24</f>
        <v>P-4.1</v>
      </c>
      <c r="O28" s="14" t="n">
        <f aca="false">COUNTIFS(Bulgular!$B$2:$B$570,N28,Bulgular!$J$2:$J$570,"İç denetim")</f>
        <v>7</v>
      </c>
      <c r="P28" s="14" t="n">
        <f aca="false">COUNTIFS(Bulgular!$B$2:$B$570,N28,Bulgular!$J$2:$J$570,"Esas denetim")</f>
        <v>2</v>
      </c>
      <c r="Q28" s="14" t="n">
        <f aca="false">O28+P28</f>
        <v>9</v>
      </c>
      <c r="R28" s="14" t="n">
        <f aca="false">Q28*INDEX(Ayarlar!$B$6:$B$8,MATCH(Madde_Listesi!E24,Ayarlar!$A$6:$A$8,0))</f>
        <v>13.5</v>
      </c>
      <c r="S28" s="14" t="n">
        <f aca="false">IF(OR($B$2="Tümü",Madde_Listesi!A24=$B$2),IF(Q28&gt;0,R28+ROW()/10000,""),"")</f>
        <v>13.5028</v>
      </c>
    </row>
    <row r="29" customFormat="false" ht="15" hidden="false" customHeight="false" outlineLevel="0" collapsed="false">
      <c r="B29" s="17" t="s">
        <v>63</v>
      </c>
      <c r="C29" s="17"/>
      <c r="D29" s="9" t="n">
        <f aca="false">COUNTIF(Bulgular!$G$2:$G$570,B29)</f>
        <v>18</v>
      </c>
      <c r="E29" s="7" t="n">
        <f aca="false">SUMPRODUCT((Bulgular!$G$2:$G$570=B29)*((Bulgular!$F$2:$F$570="Kritik")*Ayarlar!$B$6+(Bulgular!$F$2:$F$570="Major")*Ayarlar!$B$7+(Bulgular!$F$2:$F$570="Minör")*Ayarlar!$B$8))</f>
        <v>27</v>
      </c>
    </row>
    <row r="30" customFormat="false" ht="15" hidden="false" customHeight="false" outlineLevel="0" collapsed="false">
      <c r="B30" s="17" t="s">
        <v>64</v>
      </c>
      <c r="C30" s="17"/>
      <c r="D30" s="9" t="n">
        <f aca="false">COUNTIF(Bulgular!$G$2:$G$570,B30)</f>
        <v>11</v>
      </c>
      <c r="E30" s="7" t="n">
        <f aca="false">SUMPRODUCT((Bulgular!$G$2:$G$570=B30)*((Bulgular!$F$2:$F$570="Kritik")*Ayarlar!$B$6+(Bulgular!$F$2:$F$570="Major")*Ayarlar!$B$7+(Bulgular!$F$2:$F$570="Minör")*Ayarlar!$B$8))</f>
        <v>16.5</v>
      </c>
    </row>
    <row r="31" customFormat="false" ht="15" hidden="false" customHeight="false" outlineLevel="0" collapsed="false">
      <c r="B31" s="17" t="s">
        <v>65</v>
      </c>
      <c r="C31" s="17"/>
      <c r="D31" s="9" t="n">
        <f aca="false">COUNTIF(Bulgular!$G$2:$G$570,B31)</f>
        <v>30</v>
      </c>
      <c r="E31" s="7" t="n">
        <f aca="false">SUMPRODUCT((Bulgular!$G$2:$G$570=B31)*((Bulgular!$F$2:$F$570="Kritik")*Ayarlar!$B$6+(Bulgular!$F$2:$F$570="Major")*Ayarlar!$B$7+(Bulgular!$F$2:$F$570="Minör")*Ayarlar!$B$8))</f>
        <v>37.5</v>
      </c>
    </row>
    <row r="32" customFormat="false" ht="15" hidden="false" customHeight="false" outlineLevel="0" collapsed="false">
      <c r="B32" s="17" t="s">
        <v>66</v>
      </c>
      <c r="C32" s="17"/>
      <c r="D32" s="9" t="n">
        <f aca="false">COUNTIF(Bulgular!$G$2:$G$570,B32)</f>
        <v>8</v>
      </c>
      <c r="E32" s="7" t="n">
        <f aca="false">SUMPRODUCT((Bulgular!$G$2:$G$570=B32)*((Bulgular!$F$2:$F$570="Kritik")*Ayarlar!$B$6+(Bulgular!$F$2:$F$570="Major")*Ayarlar!$B$7+(Bulgular!$F$2:$F$570="Minör")*Ayarlar!$B$8))</f>
        <v>8</v>
      </c>
    </row>
    <row r="33" customFormat="false" ht="15" hidden="false" customHeight="false" outlineLevel="0" collapsed="false">
      <c r="B33" s="17" t="s">
        <v>67</v>
      </c>
      <c r="C33" s="17"/>
      <c r="D33" s="9" t="n">
        <f aca="false">COUNTIF(Bulgular!$G$2:$G$570,B33)</f>
        <v>36</v>
      </c>
      <c r="E33" s="7" t="n">
        <f aca="false">SUMPRODUCT((Bulgular!$G$2:$G$570=B33)*((Bulgular!$F$2:$F$570="Kritik")*Ayarlar!$B$6+(Bulgular!$F$2:$F$570="Major")*Ayarlar!$B$7+(Bulgular!$F$2:$F$570="Minör")*Ayarlar!$B$8))</f>
        <v>57</v>
      </c>
    </row>
    <row r="34" customFormat="false" ht="15" hidden="false" customHeight="false" outlineLevel="0" collapsed="false">
      <c r="B34" s="17" t="s">
        <v>68</v>
      </c>
      <c r="C34" s="17"/>
      <c r="D34" s="9" t="n">
        <f aca="false">COUNTIF(Bulgular!$G$2:$G$570,B34)</f>
        <v>39</v>
      </c>
      <c r="E34" s="7" t="n">
        <f aca="false">SUMPRODUCT((Bulgular!$G$2:$G$570=B34)*((Bulgular!$F$2:$F$570="Kritik")*Ayarlar!$B$6+(Bulgular!$F$2:$F$570="Major")*Ayarlar!$B$7+(Bulgular!$F$2:$F$570="Minör")*Ayarlar!$B$8))</f>
        <v>58.5</v>
      </c>
    </row>
    <row r="35" customFormat="false" ht="15" hidden="false" customHeight="false" outlineLevel="0" collapsed="false">
      <c r="B35" s="17" t="s">
        <v>69</v>
      </c>
      <c r="C35" s="17"/>
      <c r="D35" s="9" t="n">
        <f aca="false">COUNTIF(Bulgular!$G$2:$G$570,B35)</f>
        <v>7</v>
      </c>
      <c r="E35" s="7" t="n">
        <f aca="false">SUMPRODUCT((Bulgular!$G$2:$G$570=B35)*((Bulgular!$F$2:$F$570="Kritik")*Ayarlar!$B$6+(Bulgular!$F$2:$F$570="Major")*Ayarlar!$B$7+(Bulgular!$F$2:$F$570="Minör")*Ayarlar!$B$8))</f>
        <v>9.5</v>
      </c>
    </row>
    <row r="36" customFormat="false" ht="15" hidden="false" customHeight="false" outlineLevel="0" collapsed="false">
      <c r="B36" s="17" t="s">
        <v>70</v>
      </c>
      <c r="C36" s="17"/>
      <c r="D36" s="9" t="n">
        <f aca="false">COUNTIF(Bulgular!$G$2:$G$570,B36)</f>
        <v>16</v>
      </c>
      <c r="E36" s="7" t="n">
        <f aca="false">SUMPRODUCT((Bulgular!$G$2:$G$570=B36)*((Bulgular!$F$2:$F$570="Kritik")*Ayarlar!$B$6+(Bulgular!$F$2:$F$570="Major")*Ayarlar!$B$7+(Bulgular!$F$2:$F$570="Minör")*Ayarlar!$B$8))</f>
        <v>24</v>
      </c>
    </row>
    <row r="37" customFormat="false" ht="15" hidden="false" customHeight="false" outlineLevel="0" collapsed="false">
      <c r="B37" s="17" t="s">
        <v>71</v>
      </c>
      <c r="C37" s="17"/>
      <c r="D37" s="9" t="n">
        <f aca="false">COUNTIF(Bulgular!$G$2:$G$570,B37)</f>
        <v>2</v>
      </c>
      <c r="E37" s="7" t="n">
        <f aca="false">SUMPRODUCT((Bulgular!$G$2:$G$570=B37)*((Bulgular!$F$2:$F$570="Kritik")*Ayarlar!$B$6+(Bulgular!$F$2:$F$570="Major")*Ayarlar!$B$7+(Bulgular!$F$2:$F$570="Minör")*Ayarlar!$B$8))</f>
        <v>3</v>
      </c>
    </row>
    <row r="38" customFormat="false" ht="15" hidden="false" customHeight="false" outlineLevel="0" collapsed="false">
      <c r="B38" s="17" t="s">
        <v>72</v>
      </c>
      <c r="C38" s="17"/>
      <c r="D38" s="9" t="n">
        <f aca="false">COUNTIF(Bulgular!$G$2:$G$570,B38)</f>
        <v>12</v>
      </c>
      <c r="E38" s="7" t="n">
        <f aca="false">SUMPRODUCT((Bulgular!$G$2:$G$570=B38)*((Bulgular!$F$2:$F$570="Kritik")*Ayarlar!$B$6+(Bulgular!$F$2:$F$570="Major")*Ayarlar!$B$7+(Bulgular!$F$2:$F$570="Minör")*Ayarlar!$B$8))</f>
        <v>24</v>
      </c>
    </row>
    <row r="39" customFormat="false" ht="15" hidden="false" customHeight="false" outlineLevel="0" collapsed="false">
      <c r="B39" s="17" t="s">
        <v>73</v>
      </c>
      <c r="C39" s="17"/>
      <c r="D39" s="9" t="n">
        <f aca="false">COUNTIF(Bulgular!$G$2:$G$570,B39)</f>
        <v>26</v>
      </c>
      <c r="E39" s="7" t="n">
        <f aca="false">SUMPRODUCT((Bulgular!$G$2:$G$570=B39)*((Bulgular!$F$2:$F$570="Kritik")*Ayarlar!$B$6+(Bulgular!$F$2:$F$570="Major")*Ayarlar!$B$7+(Bulgular!$F$2:$F$570="Minör")*Ayarlar!$B$8))</f>
        <v>33.5</v>
      </c>
    </row>
  </sheetData>
  <mergeCells count="15"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</mergeCells>
  <conditionalFormatting sqref="E6:E20">
    <cfRule type="expression" priority="2" aboveAverage="0" equalAverage="0" bottom="0" percent="0" rank="0" text="" dxfId="0">
      <formula>E6="Kritik"</formula>
    </cfRule>
  </conditionalFormatting>
  <conditionalFormatting sqref="E25:E39">
    <cfRule type="colorScale" priority="3">
      <colorScale>
        <cfvo type="min" val="0"/>
        <cfvo type="max" val="0"/>
        <color rgb="FFFFFFFF"/>
        <color rgb="FFE06666"/>
      </colorScale>
    </cfRule>
  </conditionalFormatting>
  <dataValidations count="1">
    <dataValidation allowBlank="false" errorStyle="stop" operator="between" showDropDown="false" showErrorMessage="false" showInputMessage="false" sqref="B2" type="list">
      <formula1>"Tümü,ASA,PAP,RSA"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0" min="2" style="0" width="10"/>
  </cols>
  <sheetData>
    <row r="1" customFormat="false" ht="15" hidden="false" customHeight="false" outlineLevel="0" collapsed="false">
      <c r="A1" s="4" t="s">
        <v>74</v>
      </c>
      <c r="B1" s="18" t="str">
        <f aca="false">Magazalar!A2</f>
        <v>Mağaza A</v>
      </c>
      <c r="C1" s="18" t="str">
        <f aca="false">Magazalar!A3</f>
        <v>Mağaza B</v>
      </c>
      <c r="D1" s="18" t="str">
        <f aca="false">Magazalar!A4</f>
        <v>Mağaza C</v>
      </c>
      <c r="E1" s="18" t="str">
        <f aca="false">Magazalar!A5</f>
        <v>Mağaza D</v>
      </c>
      <c r="F1" s="18" t="str">
        <f aca="false">Magazalar!A6</f>
        <v>Mağaza E</v>
      </c>
      <c r="G1" s="18" t="str">
        <f aca="false">Magazalar!A7</f>
        <v>Mağaza F</v>
      </c>
      <c r="H1" s="18" t="str">
        <f aca="false">Magazalar!A8</f>
        <v>Mağaza G</v>
      </c>
      <c r="I1" s="18" t="str">
        <f aca="false">Magazalar!A9</f>
        <v>Mağaza H</v>
      </c>
      <c r="J1" s="4" t="s">
        <v>55</v>
      </c>
    </row>
    <row r="2" customFormat="false" ht="15" hidden="false" customHeight="false" outlineLevel="0" collapsed="false">
      <c r="A2" s="19" t="str">
        <f aca="false">Madde_Listesi!B2</f>
        <v>R-1.2</v>
      </c>
      <c r="B2" s="20" t="n">
        <f aca="false">COUNTIFS(Bulgular!$B$2:$B$570,$A2,Bulgular!$H$2:$H$570,B$1)</f>
        <v>0</v>
      </c>
      <c r="C2" s="20" t="n">
        <f aca="false">COUNTIFS(Bulgular!$B$2:$B$570,$A2,Bulgular!$H$2:$H$570,C$1)</f>
        <v>0</v>
      </c>
      <c r="D2" s="20" t="n">
        <f aca="false">COUNTIFS(Bulgular!$B$2:$B$570,$A2,Bulgular!$H$2:$H$570,D$1)</f>
        <v>2</v>
      </c>
      <c r="E2" s="20" t="n">
        <f aca="false">COUNTIFS(Bulgular!$B$2:$B$570,$A2,Bulgular!$H$2:$H$570,E$1)</f>
        <v>5</v>
      </c>
      <c r="F2" s="20" t="n">
        <f aca="false">COUNTIFS(Bulgular!$B$2:$B$570,$A2,Bulgular!$H$2:$H$570,F$1)</f>
        <v>1</v>
      </c>
      <c r="G2" s="20" t="n">
        <f aca="false">COUNTIFS(Bulgular!$B$2:$B$570,$A2,Bulgular!$H$2:$H$570,G$1)</f>
        <v>1</v>
      </c>
      <c r="H2" s="20" t="n">
        <f aca="false">COUNTIFS(Bulgular!$B$2:$B$570,$A2,Bulgular!$H$2:$H$570,H$1)</f>
        <v>2</v>
      </c>
      <c r="I2" s="20" t="n">
        <f aca="false">COUNTIFS(Bulgular!$B$2:$B$570,$A2,Bulgular!$H$2:$H$570,I$1)</f>
        <v>0</v>
      </c>
      <c r="J2" s="4" t="n">
        <f aca="false">SUM(B2:I2)</f>
        <v>11</v>
      </c>
    </row>
    <row r="3" customFormat="false" ht="15" hidden="false" customHeight="false" outlineLevel="0" collapsed="false">
      <c r="A3" s="19" t="str">
        <f aca="false">Madde_Listesi!B3</f>
        <v>R-2.1</v>
      </c>
      <c r="B3" s="20" t="n">
        <f aca="false">COUNTIFS(Bulgular!$B$2:$B$570,$A3,Bulgular!$H$2:$H$570,B$1)</f>
        <v>2</v>
      </c>
      <c r="C3" s="20" t="n">
        <f aca="false">COUNTIFS(Bulgular!$B$2:$B$570,$A3,Bulgular!$H$2:$H$570,C$1)</f>
        <v>1</v>
      </c>
      <c r="D3" s="20" t="n">
        <f aca="false">COUNTIFS(Bulgular!$B$2:$B$570,$A3,Bulgular!$H$2:$H$570,D$1)</f>
        <v>1</v>
      </c>
      <c r="E3" s="20" t="n">
        <f aca="false">COUNTIFS(Bulgular!$B$2:$B$570,$A3,Bulgular!$H$2:$H$570,E$1)</f>
        <v>0</v>
      </c>
      <c r="F3" s="20" t="n">
        <f aca="false">COUNTIFS(Bulgular!$B$2:$B$570,$A3,Bulgular!$H$2:$H$570,F$1)</f>
        <v>0</v>
      </c>
      <c r="G3" s="20" t="n">
        <f aca="false">COUNTIFS(Bulgular!$B$2:$B$570,$A3,Bulgular!$H$2:$H$570,G$1)</f>
        <v>0</v>
      </c>
      <c r="H3" s="20" t="n">
        <f aca="false">COUNTIFS(Bulgular!$B$2:$B$570,$A3,Bulgular!$H$2:$H$570,H$1)</f>
        <v>1</v>
      </c>
      <c r="I3" s="20" t="n">
        <f aca="false">COUNTIFS(Bulgular!$B$2:$B$570,$A3,Bulgular!$H$2:$H$570,I$1)</f>
        <v>1</v>
      </c>
      <c r="J3" s="4" t="n">
        <f aca="false">SUM(B3:I3)</f>
        <v>6</v>
      </c>
    </row>
    <row r="4" customFormat="false" ht="15" hidden="false" customHeight="false" outlineLevel="0" collapsed="false">
      <c r="A4" s="19" t="str">
        <f aca="false">Madde_Listesi!B4</f>
        <v>R-2.2</v>
      </c>
      <c r="B4" s="20" t="n">
        <f aca="false">COUNTIFS(Bulgular!$B$2:$B$570,$A4,Bulgular!$H$2:$H$570,B$1)</f>
        <v>2</v>
      </c>
      <c r="C4" s="20" t="n">
        <f aca="false">COUNTIFS(Bulgular!$B$2:$B$570,$A4,Bulgular!$H$2:$H$570,C$1)</f>
        <v>5</v>
      </c>
      <c r="D4" s="20" t="n">
        <f aca="false">COUNTIFS(Bulgular!$B$2:$B$570,$A4,Bulgular!$H$2:$H$570,D$1)</f>
        <v>3</v>
      </c>
      <c r="E4" s="20" t="n">
        <f aca="false">COUNTIFS(Bulgular!$B$2:$B$570,$A4,Bulgular!$H$2:$H$570,E$1)</f>
        <v>1</v>
      </c>
      <c r="F4" s="20" t="n">
        <f aca="false">COUNTIFS(Bulgular!$B$2:$B$570,$A4,Bulgular!$H$2:$H$570,F$1)</f>
        <v>3</v>
      </c>
      <c r="G4" s="20" t="n">
        <f aca="false">COUNTIFS(Bulgular!$B$2:$B$570,$A4,Bulgular!$H$2:$H$570,G$1)</f>
        <v>8</v>
      </c>
      <c r="H4" s="20" t="n">
        <f aca="false">COUNTIFS(Bulgular!$B$2:$B$570,$A4,Bulgular!$H$2:$H$570,H$1)</f>
        <v>4</v>
      </c>
      <c r="I4" s="20" t="n">
        <f aca="false">COUNTIFS(Bulgular!$B$2:$B$570,$A4,Bulgular!$H$2:$H$570,I$1)</f>
        <v>4</v>
      </c>
      <c r="J4" s="4" t="n">
        <f aca="false">SUM(B4:I4)</f>
        <v>30</v>
      </c>
    </row>
    <row r="5" customFormat="false" ht="15" hidden="false" customHeight="false" outlineLevel="0" collapsed="false">
      <c r="A5" s="19" t="str">
        <f aca="false">Madde_Listesi!B5</f>
        <v>R-3.1</v>
      </c>
      <c r="B5" s="20" t="n">
        <f aca="false">COUNTIFS(Bulgular!$B$2:$B$570,$A5,Bulgular!$H$2:$H$570,B$1)</f>
        <v>1</v>
      </c>
      <c r="C5" s="20" t="n">
        <f aca="false">COUNTIFS(Bulgular!$B$2:$B$570,$A5,Bulgular!$H$2:$H$570,C$1)</f>
        <v>0</v>
      </c>
      <c r="D5" s="20" t="n">
        <f aca="false">COUNTIFS(Bulgular!$B$2:$B$570,$A5,Bulgular!$H$2:$H$570,D$1)</f>
        <v>1</v>
      </c>
      <c r="E5" s="20" t="n">
        <f aca="false">COUNTIFS(Bulgular!$B$2:$B$570,$A5,Bulgular!$H$2:$H$570,E$1)</f>
        <v>1</v>
      </c>
      <c r="F5" s="20" t="n">
        <f aca="false">COUNTIFS(Bulgular!$B$2:$B$570,$A5,Bulgular!$H$2:$H$570,F$1)</f>
        <v>0</v>
      </c>
      <c r="G5" s="20" t="n">
        <f aca="false">COUNTIFS(Bulgular!$B$2:$B$570,$A5,Bulgular!$H$2:$H$570,G$1)</f>
        <v>0</v>
      </c>
      <c r="H5" s="20" t="n">
        <f aca="false">COUNTIFS(Bulgular!$B$2:$B$570,$A5,Bulgular!$H$2:$H$570,H$1)</f>
        <v>1</v>
      </c>
      <c r="I5" s="20" t="n">
        <f aca="false">COUNTIFS(Bulgular!$B$2:$B$570,$A5,Bulgular!$H$2:$H$570,I$1)</f>
        <v>0</v>
      </c>
      <c r="J5" s="4" t="n">
        <f aca="false">SUM(B5:I5)</f>
        <v>4</v>
      </c>
    </row>
    <row r="6" customFormat="false" ht="15" hidden="false" customHeight="false" outlineLevel="0" collapsed="false">
      <c r="A6" s="19" t="str">
        <f aca="false">Madde_Listesi!B6</f>
        <v>R-3.2</v>
      </c>
      <c r="B6" s="20" t="n">
        <f aca="false">COUNTIFS(Bulgular!$B$2:$B$570,$A6,Bulgular!$H$2:$H$570,B$1)</f>
        <v>1</v>
      </c>
      <c r="C6" s="20" t="n">
        <f aca="false">COUNTIFS(Bulgular!$B$2:$B$570,$A6,Bulgular!$H$2:$H$570,C$1)</f>
        <v>1</v>
      </c>
      <c r="D6" s="20" t="n">
        <f aca="false">COUNTIFS(Bulgular!$B$2:$B$570,$A6,Bulgular!$H$2:$H$570,D$1)</f>
        <v>0</v>
      </c>
      <c r="E6" s="20" t="n">
        <f aca="false">COUNTIFS(Bulgular!$B$2:$B$570,$A6,Bulgular!$H$2:$H$570,E$1)</f>
        <v>0</v>
      </c>
      <c r="F6" s="20" t="n">
        <f aca="false">COUNTIFS(Bulgular!$B$2:$B$570,$A6,Bulgular!$H$2:$H$570,F$1)</f>
        <v>0</v>
      </c>
      <c r="G6" s="20" t="n">
        <f aca="false">COUNTIFS(Bulgular!$B$2:$B$570,$A6,Bulgular!$H$2:$H$570,G$1)</f>
        <v>0</v>
      </c>
      <c r="H6" s="20" t="n">
        <f aca="false">COUNTIFS(Bulgular!$B$2:$B$570,$A6,Bulgular!$H$2:$H$570,H$1)</f>
        <v>0</v>
      </c>
      <c r="I6" s="20" t="n">
        <f aca="false">COUNTIFS(Bulgular!$B$2:$B$570,$A6,Bulgular!$H$2:$H$570,I$1)</f>
        <v>1</v>
      </c>
      <c r="J6" s="4" t="n">
        <f aca="false">SUM(B6:I6)</f>
        <v>3</v>
      </c>
    </row>
    <row r="7" customFormat="false" ht="15" hidden="false" customHeight="false" outlineLevel="0" collapsed="false">
      <c r="A7" s="19" t="str">
        <f aca="false">Madde_Listesi!B7</f>
        <v>R-4.1</v>
      </c>
      <c r="B7" s="20" t="n">
        <f aca="false">COUNTIFS(Bulgular!$B$2:$B$570,$A7,Bulgular!$H$2:$H$570,B$1)</f>
        <v>3</v>
      </c>
      <c r="C7" s="20" t="n">
        <f aca="false">COUNTIFS(Bulgular!$B$2:$B$570,$A7,Bulgular!$H$2:$H$570,C$1)</f>
        <v>0</v>
      </c>
      <c r="D7" s="20" t="n">
        <f aca="false">COUNTIFS(Bulgular!$B$2:$B$570,$A7,Bulgular!$H$2:$H$570,D$1)</f>
        <v>1</v>
      </c>
      <c r="E7" s="20" t="n">
        <f aca="false">COUNTIFS(Bulgular!$B$2:$B$570,$A7,Bulgular!$H$2:$H$570,E$1)</f>
        <v>1</v>
      </c>
      <c r="F7" s="20" t="n">
        <f aca="false">COUNTIFS(Bulgular!$B$2:$B$570,$A7,Bulgular!$H$2:$H$570,F$1)</f>
        <v>1</v>
      </c>
      <c r="G7" s="20" t="n">
        <f aca="false">COUNTIFS(Bulgular!$B$2:$B$570,$A7,Bulgular!$H$2:$H$570,G$1)</f>
        <v>2</v>
      </c>
      <c r="H7" s="20" t="n">
        <f aca="false">COUNTIFS(Bulgular!$B$2:$B$570,$A7,Bulgular!$H$2:$H$570,H$1)</f>
        <v>1</v>
      </c>
      <c r="I7" s="20" t="n">
        <f aca="false">COUNTIFS(Bulgular!$B$2:$B$570,$A7,Bulgular!$H$2:$H$570,I$1)</f>
        <v>3</v>
      </c>
      <c r="J7" s="4" t="n">
        <f aca="false">SUM(B7:I7)</f>
        <v>12</v>
      </c>
    </row>
    <row r="8" customFormat="false" ht="15" hidden="false" customHeight="false" outlineLevel="0" collapsed="false">
      <c r="A8" s="19" t="str">
        <f aca="false">Madde_Listesi!B8</f>
        <v>R-4.2</v>
      </c>
      <c r="B8" s="20" t="n">
        <f aca="false">COUNTIFS(Bulgular!$B$2:$B$570,$A8,Bulgular!$H$2:$H$570,B$1)</f>
        <v>1</v>
      </c>
      <c r="C8" s="20" t="n">
        <f aca="false">COUNTIFS(Bulgular!$B$2:$B$570,$A8,Bulgular!$H$2:$H$570,C$1)</f>
        <v>0</v>
      </c>
      <c r="D8" s="20" t="n">
        <f aca="false">COUNTIFS(Bulgular!$B$2:$B$570,$A8,Bulgular!$H$2:$H$570,D$1)</f>
        <v>0</v>
      </c>
      <c r="E8" s="20" t="n">
        <f aca="false">COUNTIFS(Bulgular!$B$2:$B$570,$A8,Bulgular!$H$2:$H$570,E$1)</f>
        <v>2</v>
      </c>
      <c r="F8" s="20" t="n">
        <f aca="false">COUNTIFS(Bulgular!$B$2:$B$570,$A8,Bulgular!$H$2:$H$570,F$1)</f>
        <v>1</v>
      </c>
      <c r="G8" s="20" t="n">
        <f aca="false">COUNTIFS(Bulgular!$B$2:$B$570,$A8,Bulgular!$H$2:$H$570,G$1)</f>
        <v>0</v>
      </c>
      <c r="H8" s="20" t="n">
        <f aca="false">COUNTIFS(Bulgular!$B$2:$B$570,$A8,Bulgular!$H$2:$H$570,H$1)</f>
        <v>0</v>
      </c>
      <c r="I8" s="20" t="n">
        <f aca="false">COUNTIFS(Bulgular!$B$2:$B$570,$A8,Bulgular!$H$2:$H$570,I$1)</f>
        <v>1</v>
      </c>
      <c r="J8" s="4" t="n">
        <f aca="false">SUM(B8:I8)</f>
        <v>5</v>
      </c>
    </row>
    <row r="9" customFormat="false" ht="15" hidden="false" customHeight="false" outlineLevel="0" collapsed="false">
      <c r="A9" s="19" t="str">
        <f aca="false">Madde_Listesi!B9</f>
        <v>R-4.3</v>
      </c>
      <c r="B9" s="20" t="n">
        <f aca="false">COUNTIFS(Bulgular!$B$2:$B$570,$A9,Bulgular!$H$2:$H$570,B$1)</f>
        <v>3</v>
      </c>
      <c r="C9" s="20" t="n">
        <f aca="false">COUNTIFS(Bulgular!$B$2:$B$570,$A9,Bulgular!$H$2:$H$570,C$1)</f>
        <v>1</v>
      </c>
      <c r="D9" s="20" t="n">
        <f aca="false">COUNTIFS(Bulgular!$B$2:$B$570,$A9,Bulgular!$H$2:$H$570,D$1)</f>
        <v>5</v>
      </c>
      <c r="E9" s="20" t="n">
        <f aca="false">COUNTIFS(Bulgular!$B$2:$B$570,$A9,Bulgular!$H$2:$H$570,E$1)</f>
        <v>1</v>
      </c>
      <c r="F9" s="20" t="n">
        <f aca="false">COUNTIFS(Bulgular!$B$2:$B$570,$A9,Bulgular!$H$2:$H$570,F$1)</f>
        <v>2</v>
      </c>
      <c r="G9" s="20" t="n">
        <f aca="false">COUNTIFS(Bulgular!$B$2:$B$570,$A9,Bulgular!$H$2:$H$570,G$1)</f>
        <v>3</v>
      </c>
      <c r="H9" s="20" t="n">
        <f aca="false">COUNTIFS(Bulgular!$B$2:$B$570,$A9,Bulgular!$H$2:$H$570,H$1)</f>
        <v>0</v>
      </c>
      <c r="I9" s="20" t="n">
        <f aca="false">COUNTIFS(Bulgular!$B$2:$B$570,$A9,Bulgular!$H$2:$H$570,I$1)</f>
        <v>3</v>
      </c>
      <c r="J9" s="4" t="n">
        <f aca="false">SUM(B9:I9)</f>
        <v>18</v>
      </c>
    </row>
    <row r="10" customFormat="false" ht="15" hidden="false" customHeight="false" outlineLevel="0" collapsed="false">
      <c r="A10" s="19" t="str">
        <f aca="false">Madde_Listesi!B10</f>
        <v>R-4.4</v>
      </c>
      <c r="B10" s="20" t="n">
        <f aca="false">COUNTIFS(Bulgular!$B$2:$B$570,$A10,Bulgular!$H$2:$H$570,B$1)</f>
        <v>0</v>
      </c>
      <c r="C10" s="20" t="n">
        <f aca="false">COUNTIFS(Bulgular!$B$2:$B$570,$A10,Bulgular!$H$2:$H$570,C$1)</f>
        <v>0</v>
      </c>
      <c r="D10" s="20" t="n">
        <f aca="false">COUNTIFS(Bulgular!$B$2:$B$570,$A10,Bulgular!$H$2:$H$570,D$1)</f>
        <v>0</v>
      </c>
      <c r="E10" s="20" t="n">
        <f aca="false">COUNTIFS(Bulgular!$B$2:$B$570,$A10,Bulgular!$H$2:$H$570,E$1)</f>
        <v>1</v>
      </c>
      <c r="F10" s="20" t="n">
        <f aca="false">COUNTIFS(Bulgular!$B$2:$B$570,$A10,Bulgular!$H$2:$H$570,F$1)</f>
        <v>0</v>
      </c>
      <c r="G10" s="20" t="n">
        <f aca="false">COUNTIFS(Bulgular!$B$2:$B$570,$A10,Bulgular!$H$2:$H$570,G$1)</f>
        <v>0</v>
      </c>
      <c r="H10" s="20" t="n">
        <f aca="false">COUNTIFS(Bulgular!$B$2:$B$570,$A10,Bulgular!$H$2:$H$570,H$1)</f>
        <v>1</v>
      </c>
      <c r="I10" s="20" t="n">
        <f aca="false">COUNTIFS(Bulgular!$B$2:$B$570,$A10,Bulgular!$H$2:$H$570,I$1)</f>
        <v>0</v>
      </c>
      <c r="J10" s="4" t="n">
        <f aca="false">SUM(B10:I10)</f>
        <v>2</v>
      </c>
    </row>
    <row r="11" customFormat="false" ht="15" hidden="false" customHeight="false" outlineLevel="0" collapsed="false">
      <c r="A11" s="19" t="str">
        <f aca="false">Madde_Listesi!B11</f>
        <v>A-1.1</v>
      </c>
      <c r="B11" s="20" t="n">
        <f aca="false">COUNTIFS(Bulgular!$B$2:$B$570,$A11,Bulgular!$H$2:$H$570,B$1)</f>
        <v>1</v>
      </c>
      <c r="C11" s="20" t="n">
        <f aca="false">COUNTIFS(Bulgular!$B$2:$B$570,$A11,Bulgular!$H$2:$H$570,C$1)</f>
        <v>2</v>
      </c>
      <c r="D11" s="20" t="n">
        <f aca="false">COUNTIFS(Bulgular!$B$2:$B$570,$A11,Bulgular!$H$2:$H$570,D$1)</f>
        <v>0</v>
      </c>
      <c r="E11" s="20" t="n">
        <f aca="false">COUNTIFS(Bulgular!$B$2:$B$570,$A11,Bulgular!$H$2:$H$570,E$1)</f>
        <v>2</v>
      </c>
      <c r="F11" s="20" t="n">
        <f aca="false">COUNTIFS(Bulgular!$B$2:$B$570,$A11,Bulgular!$H$2:$H$570,F$1)</f>
        <v>2</v>
      </c>
      <c r="G11" s="20" t="n">
        <f aca="false">COUNTIFS(Bulgular!$B$2:$B$570,$A11,Bulgular!$H$2:$H$570,G$1)</f>
        <v>2</v>
      </c>
      <c r="H11" s="20" t="n">
        <f aca="false">COUNTIFS(Bulgular!$B$2:$B$570,$A11,Bulgular!$H$2:$H$570,H$1)</f>
        <v>5</v>
      </c>
      <c r="I11" s="20" t="n">
        <f aca="false">COUNTIFS(Bulgular!$B$2:$B$570,$A11,Bulgular!$H$2:$H$570,I$1)</f>
        <v>2</v>
      </c>
      <c r="J11" s="4" t="n">
        <f aca="false">SUM(B11:I11)</f>
        <v>16</v>
      </c>
    </row>
    <row r="12" customFormat="false" ht="15" hidden="false" customHeight="false" outlineLevel="0" collapsed="false">
      <c r="A12" s="19" t="str">
        <f aca="false">Madde_Listesi!B12</f>
        <v>A-1.2</v>
      </c>
      <c r="B12" s="20" t="n">
        <f aca="false">COUNTIFS(Bulgular!$B$2:$B$570,$A12,Bulgular!$H$2:$H$570,B$1)</f>
        <v>0</v>
      </c>
      <c r="C12" s="20" t="n">
        <f aca="false">COUNTIFS(Bulgular!$B$2:$B$570,$A12,Bulgular!$H$2:$H$570,C$1)</f>
        <v>2</v>
      </c>
      <c r="D12" s="20" t="n">
        <f aca="false">COUNTIFS(Bulgular!$B$2:$B$570,$A12,Bulgular!$H$2:$H$570,D$1)</f>
        <v>1</v>
      </c>
      <c r="E12" s="20" t="n">
        <f aca="false">COUNTIFS(Bulgular!$B$2:$B$570,$A12,Bulgular!$H$2:$H$570,E$1)</f>
        <v>0</v>
      </c>
      <c r="F12" s="20" t="n">
        <f aca="false">COUNTIFS(Bulgular!$B$2:$B$570,$A12,Bulgular!$H$2:$H$570,F$1)</f>
        <v>1</v>
      </c>
      <c r="G12" s="20" t="n">
        <f aca="false">COUNTIFS(Bulgular!$B$2:$B$570,$A12,Bulgular!$H$2:$H$570,G$1)</f>
        <v>2</v>
      </c>
      <c r="H12" s="20" t="n">
        <f aca="false">COUNTIFS(Bulgular!$B$2:$B$570,$A12,Bulgular!$H$2:$H$570,H$1)</f>
        <v>0</v>
      </c>
      <c r="I12" s="20" t="n">
        <f aca="false">COUNTIFS(Bulgular!$B$2:$B$570,$A12,Bulgular!$H$2:$H$570,I$1)</f>
        <v>0</v>
      </c>
      <c r="J12" s="4" t="n">
        <f aca="false">SUM(B12:I12)</f>
        <v>6</v>
      </c>
    </row>
    <row r="13" customFormat="false" ht="15" hidden="false" customHeight="false" outlineLevel="0" collapsed="false">
      <c r="A13" s="19" t="str">
        <f aca="false">Madde_Listesi!B13</f>
        <v>A-2.1</v>
      </c>
      <c r="B13" s="20" t="n">
        <f aca="false">COUNTIFS(Bulgular!$B$2:$B$570,$A13,Bulgular!$H$2:$H$570,B$1)</f>
        <v>1</v>
      </c>
      <c r="C13" s="20" t="n">
        <f aca="false">COUNTIFS(Bulgular!$B$2:$B$570,$A13,Bulgular!$H$2:$H$570,C$1)</f>
        <v>1</v>
      </c>
      <c r="D13" s="20" t="n">
        <f aca="false">COUNTIFS(Bulgular!$B$2:$B$570,$A13,Bulgular!$H$2:$H$570,D$1)</f>
        <v>1</v>
      </c>
      <c r="E13" s="20" t="n">
        <f aca="false">COUNTIFS(Bulgular!$B$2:$B$570,$A13,Bulgular!$H$2:$H$570,E$1)</f>
        <v>0</v>
      </c>
      <c r="F13" s="20" t="n">
        <f aca="false">COUNTIFS(Bulgular!$B$2:$B$570,$A13,Bulgular!$H$2:$H$570,F$1)</f>
        <v>0</v>
      </c>
      <c r="G13" s="20" t="n">
        <f aca="false">COUNTIFS(Bulgular!$B$2:$B$570,$A13,Bulgular!$H$2:$H$570,G$1)</f>
        <v>3</v>
      </c>
      <c r="H13" s="20" t="n">
        <f aca="false">COUNTIFS(Bulgular!$B$2:$B$570,$A13,Bulgular!$H$2:$H$570,H$1)</f>
        <v>1</v>
      </c>
      <c r="I13" s="20" t="n">
        <f aca="false">COUNTIFS(Bulgular!$B$2:$B$570,$A13,Bulgular!$H$2:$H$570,I$1)</f>
        <v>1</v>
      </c>
      <c r="J13" s="4" t="n">
        <f aca="false">SUM(B13:I13)</f>
        <v>8</v>
      </c>
    </row>
    <row r="14" customFormat="false" ht="15" hidden="false" customHeight="false" outlineLevel="0" collapsed="false">
      <c r="A14" s="19" t="str">
        <f aca="false">Madde_Listesi!B14</f>
        <v>A-2.2</v>
      </c>
      <c r="B14" s="20" t="n">
        <f aca="false">COUNTIFS(Bulgular!$B$2:$B$570,$A14,Bulgular!$H$2:$H$570,B$1)</f>
        <v>2</v>
      </c>
      <c r="C14" s="20" t="n">
        <f aca="false">COUNTIFS(Bulgular!$B$2:$B$570,$A14,Bulgular!$H$2:$H$570,C$1)</f>
        <v>0</v>
      </c>
      <c r="D14" s="20" t="n">
        <f aca="false">COUNTIFS(Bulgular!$B$2:$B$570,$A14,Bulgular!$H$2:$H$570,D$1)</f>
        <v>0</v>
      </c>
      <c r="E14" s="20" t="n">
        <f aca="false">COUNTIFS(Bulgular!$B$2:$B$570,$A14,Bulgular!$H$2:$H$570,E$1)</f>
        <v>0</v>
      </c>
      <c r="F14" s="20" t="n">
        <f aca="false">COUNTIFS(Bulgular!$B$2:$B$570,$A14,Bulgular!$H$2:$H$570,F$1)</f>
        <v>0</v>
      </c>
      <c r="G14" s="20" t="n">
        <f aca="false">COUNTIFS(Bulgular!$B$2:$B$570,$A14,Bulgular!$H$2:$H$570,G$1)</f>
        <v>0</v>
      </c>
      <c r="H14" s="20" t="n">
        <f aca="false">COUNTIFS(Bulgular!$B$2:$B$570,$A14,Bulgular!$H$2:$H$570,H$1)</f>
        <v>0</v>
      </c>
      <c r="I14" s="20" t="n">
        <f aca="false">COUNTIFS(Bulgular!$B$2:$B$570,$A14,Bulgular!$H$2:$H$570,I$1)</f>
        <v>0</v>
      </c>
      <c r="J14" s="4" t="n">
        <f aca="false">SUM(B14:I14)</f>
        <v>2</v>
      </c>
    </row>
    <row r="15" customFormat="false" ht="15" hidden="false" customHeight="false" outlineLevel="0" collapsed="false">
      <c r="A15" s="19" t="str">
        <f aca="false">Madde_Listesi!B15</f>
        <v>A-3.1</v>
      </c>
      <c r="B15" s="20" t="n">
        <f aca="false">COUNTIFS(Bulgular!$B$2:$B$570,$A15,Bulgular!$H$2:$H$570,B$1)</f>
        <v>1</v>
      </c>
      <c r="C15" s="20" t="n">
        <f aca="false">COUNTIFS(Bulgular!$B$2:$B$570,$A15,Bulgular!$H$2:$H$570,C$1)</f>
        <v>1</v>
      </c>
      <c r="D15" s="20" t="n">
        <f aca="false">COUNTIFS(Bulgular!$B$2:$B$570,$A15,Bulgular!$H$2:$H$570,D$1)</f>
        <v>2</v>
      </c>
      <c r="E15" s="20" t="n">
        <f aca="false">COUNTIFS(Bulgular!$B$2:$B$570,$A15,Bulgular!$H$2:$H$570,E$1)</f>
        <v>0</v>
      </c>
      <c r="F15" s="20" t="n">
        <f aca="false">COUNTIFS(Bulgular!$B$2:$B$570,$A15,Bulgular!$H$2:$H$570,F$1)</f>
        <v>1</v>
      </c>
      <c r="G15" s="20" t="n">
        <f aca="false">COUNTIFS(Bulgular!$B$2:$B$570,$A15,Bulgular!$H$2:$H$570,G$1)</f>
        <v>0</v>
      </c>
      <c r="H15" s="20" t="n">
        <f aca="false">COUNTIFS(Bulgular!$B$2:$B$570,$A15,Bulgular!$H$2:$H$570,H$1)</f>
        <v>2</v>
      </c>
      <c r="I15" s="20" t="n">
        <f aca="false">COUNTIFS(Bulgular!$B$2:$B$570,$A15,Bulgular!$H$2:$H$570,I$1)</f>
        <v>1</v>
      </c>
      <c r="J15" s="4" t="n">
        <f aca="false">SUM(B15:I15)</f>
        <v>8</v>
      </c>
    </row>
    <row r="16" customFormat="false" ht="15" hidden="false" customHeight="false" outlineLevel="0" collapsed="false">
      <c r="A16" s="19" t="str">
        <f aca="false">Madde_Listesi!B16</f>
        <v>A-3.2</v>
      </c>
      <c r="B16" s="20" t="n">
        <f aca="false">COUNTIFS(Bulgular!$B$2:$B$570,$A16,Bulgular!$H$2:$H$570,B$1)</f>
        <v>4</v>
      </c>
      <c r="C16" s="20" t="n">
        <f aca="false">COUNTIFS(Bulgular!$B$2:$B$570,$A16,Bulgular!$H$2:$H$570,C$1)</f>
        <v>0</v>
      </c>
      <c r="D16" s="20" t="n">
        <f aca="false">COUNTIFS(Bulgular!$B$2:$B$570,$A16,Bulgular!$H$2:$H$570,D$1)</f>
        <v>2</v>
      </c>
      <c r="E16" s="20" t="n">
        <f aca="false">COUNTIFS(Bulgular!$B$2:$B$570,$A16,Bulgular!$H$2:$H$570,E$1)</f>
        <v>6</v>
      </c>
      <c r="F16" s="20" t="n">
        <f aca="false">COUNTIFS(Bulgular!$B$2:$B$570,$A16,Bulgular!$H$2:$H$570,F$1)</f>
        <v>3</v>
      </c>
      <c r="G16" s="20" t="n">
        <f aca="false">COUNTIFS(Bulgular!$B$2:$B$570,$A16,Bulgular!$H$2:$H$570,G$1)</f>
        <v>3</v>
      </c>
      <c r="H16" s="20" t="n">
        <f aca="false">COUNTIFS(Bulgular!$B$2:$B$570,$A16,Bulgular!$H$2:$H$570,H$1)</f>
        <v>3</v>
      </c>
      <c r="I16" s="20" t="n">
        <f aca="false">COUNTIFS(Bulgular!$B$2:$B$570,$A16,Bulgular!$H$2:$H$570,I$1)</f>
        <v>9</v>
      </c>
      <c r="J16" s="4" t="n">
        <f aca="false">SUM(B16:I16)</f>
        <v>30</v>
      </c>
    </row>
    <row r="17" customFormat="false" ht="15" hidden="false" customHeight="false" outlineLevel="0" collapsed="false">
      <c r="A17" s="19" t="str">
        <f aca="false">Madde_Listesi!B17</f>
        <v>A-4.1</v>
      </c>
      <c r="B17" s="20" t="n">
        <f aca="false">COUNTIFS(Bulgular!$B$2:$B$570,$A17,Bulgular!$H$2:$H$570,B$1)</f>
        <v>1</v>
      </c>
      <c r="C17" s="20" t="n">
        <f aca="false">COUNTIFS(Bulgular!$B$2:$B$570,$A17,Bulgular!$H$2:$H$570,C$1)</f>
        <v>0</v>
      </c>
      <c r="D17" s="20" t="n">
        <f aca="false">COUNTIFS(Bulgular!$B$2:$B$570,$A17,Bulgular!$H$2:$H$570,D$1)</f>
        <v>2</v>
      </c>
      <c r="E17" s="20" t="n">
        <f aca="false">COUNTIFS(Bulgular!$B$2:$B$570,$A17,Bulgular!$H$2:$H$570,E$1)</f>
        <v>0</v>
      </c>
      <c r="F17" s="20" t="n">
        <f aca="false">COUNTIFS(Bulgular!$B$2:$B$570,$A17,Bulgular!$H$2:$H$570,F$1)</f>
        <v>1</v>
      </c>
      <c r="G17" s="20" t="n">
        <f aca="false">COUNTIFS(Bulgular!$B$2:$B$570,$A17,Bulgular!$H$2:$H$570,G$1)</f>
        <v>3</v>
      </c>
      <c r="H17" s="20" t="n">
        <f aca="false">COUNTIFS(Bulgular!$B$2:$B$570,$A17,Bulgular!$H$2:$H$570,H$1)</f>
        <v>2</v>
      </c>
      <c r="I17" s="20" t="n">
        <f aca="false">COUNTIFS(Bulgular!$B$2:$B$570,$A17,Bulgular!$H$2:$H$570,I$1)</f>
        <v>1</v>
      </c>
      <c r="J17" s="4" t="n">
        <f aca="false">SUM(B17:I17)</f>
        <v>10</v>
      </c>
    </row>
    <row r="18" customFormat="false" ht="15" hidden="false" customHeight="false" outlineLevel="0" collapsed="false">
      <c r="A18" s="19" t="str">
        <f aca="false">Madde_Listesi!B18</f>
        <v>P-1.1</v>
      </c>
      <c r="B18" s="20" t="n">
        <f aca="false">COUNTIFS(Bulgular!$B$2:$B$570,$A18,Bulgular!$H$2:$H$570,B$1)</f>
        <v>1</v>
      </c>
      <c r="C18" s="20" t="n">
        <f aca="false">COUNTIFS(Bulgular!$B$2:$B$570,$A18,Bulgular!$H$2:$H$570,C$1)</f>
        <v>3</v>
      </c>
      <c r="D18" s="20" t="n">
        <f aca="false">COUNTIFS(Bulgular!$B$2:$B$570,$A18,Bulgular!$H$2:$H$570,D$1)</f>
        <v>1</v>
      </c>
      <c r="E18" s="20" t="n">
        <f aca="false">COUNTIFS(Bulgular!$B$2:$B$570,$A18,Bulgular!$H$2:$H$570,E$1)</f>
        <v>3</v>
      </c>
      <c r="F18" s="20" t="n">
        <f aca="false">COUNTIFS(Bulgular!$B$2:$B$570,$A18,Bulgular!$H$2:$H$570,F$1)</f>
        <v>3</v>
      </c>
      <c r="G18" s="20" t="n">
        <f aca="false">COUNTIFS(Bulgular!$B$2:$B$570,$A18,Bulgular!$H$2:$H$570,G$1)</f>
        <v>4</v>
      </c>
      <c r="H18" s="20" t="n">
        <f aca="false">COUNTIFS(Bulgular!$B$2:$B$570,$A18,Bulgular!$H$2:$H$570,H$1)</f>
        <v>9</v>
      </c>
      <c r="I18" s="20" t="n">
        <f aca="false">COUNTIFS(Bulgular!$B$2:$B$570,$A18,Bulgular!$H$2:$H$570,I$1)</f>
        <v>4</v>
      </c>
      <c r="J18" s="4" t="n">
        <f aca="false">SUM(B18:I18)</f>
        <v>28</v>
      </c>
    </row>
    <row r="19" customFormat="false" ht="15" hidden="false" customHeight="false" outlineLevel="0" collapsed="false">
      <c r="A19" s="19" t="str">
        <f aca="false">Madde_Listesi!B19</f>
        <v>P-1.2</v>
      </c>
      <c r="B19" s="20" t="n">
        <f aca="false">COUNTIFS(Bulgular!$B$2:$B$570,$A19,Bulgular!$H$2:$H$570,B$1)</f>
        <v>0</v>
      </c>
      <c r="C19" s="20" t="n">
        <f aca="false">COUNTIFS(Bulgular!$B$2:$B$570,$A19,Bulgular!$H$2:$H$570,C$1)</f>
        <v>0</v>
      </c>
      <c r="D19" s="20" t="n">
        <f aca="false">COUNTIFS(Bulgular!$B$2:$B$570,$A19,Bulgular!$H$2:$H$570,D$1)</f>
        <v>1</v>
      </c>
      <c r="E19" s="20" t="n">
        <f aca="false">COUNTIFS(Bulgular!$B$2:$B$570,$A19,Bulgular!$H$2:$H$570,E$1)</f>
        <v>1</v>
      </c>
      <c r="F19" s="20" t="n">
        <f aca="false">COUNTIFS(Bulgular!$B$2:$B$570,$A19,Bulgular!$H$2:$H$570,F$1)</f>
        <v>1</v>
      </c>
      <c r="G19" s="20" t="n">
        <f aca="false">COUNTIFS(Bulgular!$B$2:$B$570,$A19,Bulgular!$H$2:$H$570,G$1)</f>
        <v>0</v>
      </c>
      <c r="H19" s="20" t="n">
        <f aca="false">COUNTIFS(Bulgular!$B$2:$B$570,$A19,Bulgular!$H$2:$H$570,H$1)</f>
        <v>1</v>
      </c>
      <c r="I19" s="20" t="n">
        <f aca="false">COUNTIFS(Bulgular!$B$2:$B$570,$A19,Bulgular!$H$2:$H$570,I$1)</f>
        <v>1</v>
      </c>
      <c r="J19" s="4" t="n">
        <f aca="false">SUM(B19:I19)</f>
        <v>5</v>
      </c>
    </row>
    <row r="20" customFormat="false" ht="15" hidden="false" customHeight="false" outlineLevel="0" collapsed="false">
      <c r="A20" s="19" t="str">
        <f aca="false">Madde_Listesi!B20</f>
        <v>P-2.1</v>
      </c>
      <c r="B20" s="20" t="n">
        <f aca="false">COUNTIFS(Bulgular!$B$2:$B$570,$A20,Bulgular!$H$2:$H$570,B$1)</f>
        <v>2</v>
      </c>
      <c r="C20" s="20" t="n">
        <f aca="false">COUNTIFS(Bulgular!$B$2:$B$570,$A20,Bulgular!$H$2:$H$570,C$1)</f>
        <v>1</v>
      </c>
      <c r="D20" s="20" t="n">
        <f aca="false">COUNTIFS(Bulgular!$B$2:$B$570,$A20,Bulgular!$H$2:$H$570,D$1)</f>
        <v>2</v>
      </c>
      <c r="E20" s="20" t="n">
        <f aca="false">COUNTIFS(Bulgular!$B$2:$B$570,$A20,Bulgular!$H$2:$H$570,E$1)</f>
        <v>5</v>
      </c>
      <c r="F20" s="20" t="n">
        <f aca="false">COUNTIFS(Bulgular!$B$2:$B$570,$A20,Bulgular!$H$2:$H$570,F$1)</f>
        <v>1</v>
      </c>
      <c r="G20" s="20" t="n">
        <f aca="false">COUNTIFS(Bulgular!$B$2:$B$570,$A20,Bulgular!$H$2:$H$570,G$1)</f>
        <v>3</v>
      </c>
      <c r="H20" s="20" t="n">
        <f aca="false">COUNTIFS(Bulgular!$B$2:$B$570,$A20,Bulgular!$H$2:$H$570,H$1)</f>
        <v>1</v>
      </c>
      <c r="I20" s="20" t="n">
        <f aca="false">COUNTIFS(Bulgular!$B$2:$B$570,$A20,Bulgular!$H$2:$H$570,I$1)</f>
        <v>0</v>
      </c>
      <c r="J20" s="4" t="n">
        <f aca="false">SUM(B20:I20)</f>
        <v>15</v>
      </c>
    </row>
    <row r="21" customFormat="false" ht="15" hidden="false" customHeight="false" outlineLevel="0" collapsed="false">
      <c r="A21" s="19" t="str">
        <f aca="false">Madde_Listesi!B21</f>
        <v>P-2.2</v>
      </c>
      <c r="B21" s="20" t="n">
        <f aca="false">COUNTIFS(Bulgular!$B$2:$B$570,$A21,Bulgular!$H$2:$H$570,B$1)</f>
        <v>0</v>
      </c>
      <c r="C21" s="20" t="n">
        <f aca="false">COUNTIFS(Bulgular!$B$2:$B$570,$A21,Bulgular!$H$2:$H$570,C$1)</f>
        <v>0</v>
      </c>
      <c r="D21" s="20" t="n">
        <f aca="false">COUNTIFS(Bulgular!$B$2:$B$570,$A21,Bulgular!$H$2:$H$570,D$1)</f>
        <v>2</v>
      </c>
      <c r="E21" s="20" t="n">
        <f aca="false">COUNTIFS(Bulgular!$B$2:$B$570,$A21,Bulgular!$H$2:$H$570,E$1)</f>
        <v>0</v>
      </c>
      <c r="F21" s="20" t="n">
        <f aca="false">COUNTIFS(Bulgular!$B$2:$B$570,$A21,Bulgular!$H$2:$H$570,F$1)</f>
        <v>1</v>
      </c>
      <c r="G21" s="20" t="n">
        <f aca="false">COUNTIFS(Bulgular!$B$2:$B$570,$A21,Bulgular!$H$2:$H$570,G$1)</f>
        <v>3</v>
      </c>
      <c r="H21" s="20" t="n">
        <f aca="false">COUNTIFS(Bulgular!$B$2:$B$570,$A21,Bulgular!$H$2:$H$570,H$1)</f>
        <v>2</v>
      </c>
      <c r="I21" s="20" t="n">
        <f aca="false">COUNTIFS(Bulgular!$B$2:$B$570,$A21,Bulgular!$H$2:$H$570,I$1)</f>
        <v>3</v>
      </c>
      <c r="J21" s="4" t="n">
        <f aca="false">SUM(B21:I21)</f>
        <v>11</v>
      </c>
    </row>
    <row r="22" customFormat="false" ht="15" hidden="false" customHeight="false" outlineLevel="0" collapsed="false">
      <c r="A22" s="19" t="str">
        <f aca="false">Madde_Listesi!B22</f>
        <v>P-3.1</v>
      </c>
      <c r="B22" s="20" t="n">
        <f aca="false">COUNTIFS(Bulgular!$B$2:$B$570,$A22,Bulgular!$H$2:$H$570,B$1)</f>
        <v>1</v>
      </c>
      <c r="C22" s="20" t="n">
        <f aca="false">COUNTIFS(Bulgular!$B$2:$B$570,$A22,Bulgular!$H$2:$H$570,C$1)</f>
        <v>2</v>
      </c>
      <c r="D22" s="20" t="n">
        <f aca="false">COUNTIFS(Bulgular!$B$2:$B$570,$A22,Bulgular!$H$2:$H$570,D$1)</f>
        <v>1</v>
      </c>
      <c r="E22" s="20" t="n">
        <f aca="false">COUNTIFS(Bulgular!$B$2:$B$570,$A22,Bulgular!$H$2:$H$570,E$1)</f>
        <v>3</v>
      </c>
      <c r="F22" s="20" t="n">
        <f aca="false">COUNTIFS(Bulgular!$B$2:$B$570,$A22,Bulgular!$H$2:$H$570,F$1)</f>
        <v>1</v>
      </c>
      <c r="G22" s="20" t="n">
        <f aca="false">COUNTIFS(Bulgular!$B$2:$B$570,$A22,Bulgular!$H$2:$H$570,G$1)</f>
        <v>2</v>
      </c>
      <c r="H22" s="20" t="n">
        <f aca="false">COUNTIFS(Bulgular!$B$2:$B$570,$A22,Bulgular!$H$2:$H$570,H$1)</f>
        <v>3</v>
      </c>
      <c r="I22" s="20" t="n">
        <f aca="false">COUNTIFS(Bulgular!$B$2:$B$570,$A22,Bulgular!$H$2:$H$570,I$1)</f>
        <v>2</v>
      </c>
      <c r="J22" s="4" t="n">
        <f aca="false">SUM(B22:I22)</f>
        <v>15</v>
      </c>
    </row>
    <row r="23" customFormat="false" ht="15" hidden="false" customHeight="false" outlineLevel="0" collapsed="false">
      <c r="A23" s="19" t="str">
        <f aca="false">Madde_Listesi!B23</f>
        <v>P-3.2</v>
      </c>
      <c r="B23" s="20" t="n">
        <f aca="false">COUNTIFS(Bulgular!$B$2:$B$570,$A23,Bulgular!$H$2:$H$570,B$1)</f>
        <v>0</v>
      </c>
      <c r="C23" s="20" t="n">
        <f aca="false">COUNTIFS(Bulgular!$B$2:$B$570,$A23,Bulgular!$H$2:$H$570,C$1)</f>
        <v>1</v>
      </c>
      <c r="D23" s="20" t="n">
        <f aca="false">COUNTIFS(Bulgular!$B$2:$B$570,$A23,Bulgular!$H$2:$H$570,D$1)</f>
        <v>0</v>
      </c>
      <c r="E23" s="20" t="n">
        <f aca="false">COUNTIFS(Bulgular!$B$2:$B$570,$A23,Bulgular!$H$2:$H$570,E$1)</f>
        <v>3</v>
      </c>
      <c r="F23" s="20" t="n">
        <f aca="false">COUNTIFS(Bulgular!$B$2:$B$570,$A23,Bulgular!$H$2:$H$570,F$1)</f>
        <v>3</v>
      </c>
      <c r="G23" s="20" t="n">
        <f aca="false">COUNTIFS(Bulgular!$B$2:$B$570,$A23,Bulgular!$H$2:$H$570,G$1)</f>
        <v>3</v>
      </c>
      <c r="H23" s="20" t="n">
        <f aca="false">COUNTIFS(Bulgular!$B$2:$B$570,$A23,Bulgular!$H$2:$H$570,H$1)</f>
        <v>2</v>
      </c>
      <c r="I23" s="20" t="n">
        <f aca="false">COUNTIFS(Bulgular!$B$2:$B$570,$A23,Bulgular!$H$2:$H$570,I$1)</f>
        <v>3</v>
      </c>
      <c r="J23" s="4" t="n">
        <f aca="false">SUM(B23:I23)</f>
        <v>15</v>
      </c>
    </row>
    <row r="24" customFormat="false" ht="15" hidden="false" customHeight="false" outlineLevel="0" collapsed="false">
      <c r="A24" s="19" t="str">
        <f aca="false">Madde_Listesi!B24</f>
        <v>P-4.1</v>
      </c>
      <c r="B24" s="20" t="n">
        <f aca="false">COUNTIFS(Bulgular!$B$2:$B$570,$A24,Bulgular!$H$2:$H$570,B$1)</f>
        <v>0</v>
      </c>
      <c r="C24" s="20" t="n">
        <f aca="false">COUNTIFS(Bulgular!$B$2:$B$570,$A24,Bulgular!$H$2:$H$570,C$1)</f>
        <v>0</v>
      </c>
      <c r="D24" s="20" t="n">
        <f aca="false">COUNTIFS(Bulgular!$B$2:$B$570,$A24,Bulgular!$H$2:$H$570,D$1)</f>
        <v>0</v>
      </c>
      <c r="E24" s="20" t="n">
        <f aca="false">COUNTIFS(Bulgular!$B$2:$B$570,$A24,Bulgular!$H$2:$H$570,E$1)</f>
        <v>3</v>
      </c>
      <c r="F24" s="20" t="n">
        <f aca="false">COUNTIFS(Bulgular!$B$2:$B$570,$A24,Bulgular!$H$2:$H$570,F$1)</f>
        <v>1</v>
      </c>
      <c r="G24" s="20" t="n">
        <f aca="false">COUNTIFS(Bulgular!$B$2:$B$570,$A24,Bulgular!$H$2:$H$570,G$1)</f>
        <v>2</v>
      </c>
      <c r="H24" s="20" t="n">
        <f aca="false">COUNTIFS(Bulgular!$B$2:$B$570,$A24,Bulgular!$H$2:$H$570,H$1)</f>
        <v>3</v>
      </c>
      <c r="I24" s="20" t="n">
        <f aca="false">COUNTIFS(Bulgular!$B$2:$B$570,$A24,Bulgular!$H$2:$H$570,I$1)</f>
        <v>0</v>
      </c>
      <c r="J24" s="4" t="n">
        <f aca="false">SUM(B24:I24)</f>
        <v>9</v>
      </c>
    </row>
    <row r="25" customFormat="false" ht="15" hidden="false" customHeight="false" outlineLevel="0" collapsed="false">
      <c r="A25" s="4" t="s">
        <v>55</v>
      </c>
      <c r="B25" s="4" t="n">
        <f aca="false">SUM(B2:B24)</f>
        <v>27</v>
      </c>
      <c r="C25" s="4" t="n">
        <f aca="false">SUM(C2:C24)</f>
        <v>21</v>
      </c>
      <c r="D25" s="4" t="n">
        <f aca="false">SUM(D2:D24)</f>
        <v>28</v>
      </c>
      <c r="E25" s="4" t="n">
        <f aca="false">SUM(E2:E24)</f>
        <v>38</v>
      </c>
      <c r="F25" s="4" t="n">
        <f aca="false">SUM(F2:F24)</f>
        <v>27</v>
      </c>
      <c r="G25" s="4" t="n">
        <f aca="false">SUM(G2:G24)</f>
        <v>44</v>
      </c>
      <c r="H25" s="4" t="n">
        <f aca="false">SUM(H2:H24)</f>
        <v>44</v>
      </c>
      <c r="I25" s="4" t="n">
        <f aca="false">SUM(I2:I24)</f>
        <v>40</v>
      </c>
      <c r="J25" s="4" t="n">
        <f aca="false">SUM(J2:J24)</f>
        <v>269</v>
      </c>
    </row>
  </sheetData>
  <conditionalFormatting sqref="B2:I24">
    <cfRule type="colorScale" priority="2">
      <colorScale>
        <cfvo type="num" val="0"/>
        <cfvo type="max" val="0"/>
        <color rgb="FFFFFFFF"/>
        <color rgb="FFE06666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15"/>
    <col collapsed="false" customWidth="true" hidden="false" outlineLevel="0" max="9" min="9" style="0" width="3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2" min="12" style="0" width="13"/>
    <col collapsed="false" customWidth="true" hidden="false" outlineLevel="0" max="13" min="13" style="0" width="9"/>
    <col collapsed="false" customWidth="true" hidden="false" outlineLevel="0" max="14" min="14" style="0" width="12"/>
  </cols>
  <sheetData>
    <row r="1" customFormat="false" ht="16.15" hidden="false" customHeight="false" outlineLevel="0" collapsed="false">
      <c r="A1" s="1" t="s">
        <v>75</v>
      </c>
    </row>
    <row r="2" customFormat="false" ht="15" hidden="false" customHeight="false" outlineLevel="0" collapsed="false">
      <c r="A2" s="2" t="s">
        <v>76</v>
      </c>
    </row>
    <row r="4" customFormat="false" ht="30" hidden="false" customHeight="true" outlineLevel="0" collapsed="false">
      <c r="A4" s="5" t="s">
        <v>77</v>
      </c>
      <c r="B4" s="5" t="s">
        <v>78</v>
      </c>
      <c r="C4" s="5" t="s">
        <v>79</v>
      </c>
      <c r="D4" s="5" t="s">
        <v>80</v>
      </c>
      <c r="E4" s="5" t="s">
        <v>81</v>
      </c>
      <c r="F4" s="5" t="s">
        <v>82</v>
      </c>
      <c r="G4" s="5" t="s">
        <v>83</v>
      </c>
      <c r="H4" s="5" t="s">
        <v>84</v>
      </c>
      <c r="J4" s="4" t="s">
        <v>85</v>
      </c>
    </row>
    <row r="5" customFormat="false" ht="30" hidden="false" customHeight="true" outlineLevel="0" collapsed="false">
      <c r="A5" s="21" t="s">
        <v>86</v>
      </c>
      <c r="B5" s="21" t="s">
        <v>87</v>
      </c>
      <c r="C5" s="21" t="s">
        <v>88</v>
      </c>
      <c r="D5" s="21" t="s">
        <v>89</v>
      </c>
      <c r="E5" s="22" t="n">
        <v>46051</v>
      </c>
      <c r="F5" s="23" t="n">
        <v>46052</v>
      </c>
      <c r="G5" s="17" t="str">
        <f aca="false">IF(F5&lt;&gt;"","Yapıldı",IF(E5&lt;Ayarlar!$B$3,"Gecikti",IF(E5-Ayarlar!$B$3&lt;=Ayarlar!$B$15,"Yaklaşıyor","Planlandı")))</f>
        <v>Yapıldı</v>
      </c>
      <c r="H5" s="17" t="str">
        <f aca="false">IF(B5=D5,"Kendi mağazası!",IF(INDEX(Magazalar!$C:$C,MATCH(D5,Magazalar!$A:$A,0))&lt;&gt;C5,"Uzmanlık dışı",IF(INDEX(Magazalar!$B:$B,MATCH(D5,Magazalar!$A:$A,0))&lt;&gt;INDEX(Magazalar!$B:$B,MATCH(B5,Magazalar!$A:$A,0)),"Uygun (grup dışı)","Uygun")))</f>
        <v>Uygun</v>
      </c>
      <c r="J5" s="5" t="s">
        <v>16</v>
      </c>
      <c r="K5" s="5" t="s">
        <v>46</v>
      </c>
      <c r="L5" s="5" t="s">
        <v>90</v>
      </c>
      <c r="M5" s="5" t="s">
        <v>91</v>
      </c>
      <c r="N5" s="5" t="s">
        <v>83</v>
      </c>
    </row>
    <row r="6" customFormat="false" ht="15" hidden="false" customHeight="false" outlineLevel="0" collapsed="false">
      <c r="A6" s="21" t="s">
        <v>86</v>
      </c>
      <c r="B6" s="21" t="s">
        <v>87</v>
      </c>
      <c r="C6" s="21" t="s">
        <v>92</v>
      </c>
      <c r="D6" s="21" t="s">
        <v>93</v>
      </c>
      <c r="E6" s="22" t="n">
        <v>46061</v>
      </c>
      <c r="F6" s="23" t="n">
        <v>46061</v>
      </c>
      <c r="G6" s="17" t="str">
        <f aca="false">IF(F6&lt;&gt;"","Yapıldı",IF(E6&lt;Ayarlar!$B$3,"Gecikti",IF(E6-Ayarlar!$B$3&lt;=Ayarlar!$B$15,"Yaklaşıyor","Planlandı")))</f>
        <v>Yapıldı</v>
      </c>
      <c r="H6" s="17" t="str">
        <f aca="false">IF(B6=D6,"Kendi mağazası!",IF(INDEX(Magazalar!$C:$C,MATCH(D6,Magazalar!$A:$A,0))&lt;&gt;C6,"Uzmanlık dışı",IF(INDEX(Magazalar!$B:$B,MATCH(D6,Magazalar!$A:$A,0))&lt;&gt;INDEX(Magazalar!$B:$B,MATCH(B6,Magazalar!$A:$A,0)),"Uygun (grup dışı)","Uygun")))</f>
        <v>Uygun</v>
      </c>
      <c r="J6" s="21" t="s">
        <v>87</v>
      </c>
      <c r="K6" s="21" t="s">
        <v>88</v>
      </c>
      <c r="L6" s="22" t="n">
        <v>46304</v>
      </c>
      <c r="M6" s="9" t="n">
        <f aca="false">L6-Ayarlar!$B$3</f>
        <v>25</v>
      </c>
      <c r="N6" s="17" t="str">
        <f aca="false">IF(M6&lt;0,"Tarih geçti",IF(M6&lt;=Ayarlar!$B$15,"Yaklaşıyor",""))</f>
        <v>Yaklaşıyor</v>
      </c>
    </row>
    <row r="7" customFormat="false" ht="15" hidden="false" customHeight="false" outlineLevel="0" collapsed="false">
      <c r="A7" s="21" t="s">
        <v>86</v>
      </c>
      <c r="B7" s="21" t="s">
        <v>87</v>
      </c>
      <c r="C7" s="21" t="s">
        <v>94</v>
      </c>
      <c r="D7" s="21" t="s">
        <v>95</v>
      </c>
      <c r="E7" s="22" t="n">
        <v>46049</v>
      </c>
      <c r="F7" s="23" t="n">
        <v>46049</v>
      </c>
      <c r="G7" s="17" t="str">
        <f aca="false">IF(F7&lt;&gt;"","Yapıldı",IF(E7&lt;Ayarlar!$B$3,"Gecikti",IF(E7-Ayarlar!$B$3&lt;=Ayarlar!$B$15,"Yaklaşıyor","Planlandı")))</f>
        <v>Yapıldı</v>
      </c>
      <c r="H7" s="17" t="str">
        <f aca="false">IF(B7=D7,"Kendi mağazası!",IF(INDEX(Magazalar!$C:$C,MATCH(D7,Magazalar!$A:$A,0))&lt;&gt;C7,"Uzmanlık dışı",IF(INDEX(Magazalar!$B:$B,MATCH(D7,Magazalar!$A:$A,0))&lt;&gt;INDEX(Magazalar!$B:$B,MATCH(B7,Magazalar!$A:$A,0)),"Uygun (grup dışı)","Uygun")))</f>
        <v>Uygun (grup dışı)</v>
      </c>
      <c r="J7" s="21" t="s">
        <v>87</v>
      </c>
      <c r="K7" s="21" t="s">
        <v>92</v>
      </c>
      <c r="L7" s="22" t="n">
        <v>46418</v>
      </c>
      <c r="M7" s="9" t="n">
        <f aca="false">L7-Ayarlar!$B$3</f>
        <v>139</v>
      </c>
      <c r="N7" s="17" t="str">
        <f aca="false">IF(M7&lt;0,"Tarih geçti",IF(M7&lt;=Ayarlar!$B$15,"Yaklaşıyor",""))</f>
        <v/>
      </c>
    </row>
    <row r="8" customFormat="false" ht="15" hidden="false" customHeight="false" outlineLevel="0" collapsed="false">
      <c r="A8" s="21" t="s">
        <v>86</v>
      </c>
      <c r="B8" s="21" t="s">
        <v>89</v>
      </c>
      <c r="C8" s="21" t="s">
        <v>88</v>
      </c>
      <c r="D8" s="21" t="s">
        <v>96</v>
      </c>
      <c r="E8" s="22" t="n">
        <v>46042</v>
      </c>
      <c r="F8" s="23" t="n">
        <v>46042</v>
      </c>
      <c r="G8" s="17" t="str">
        <f aca="false">IF(F8&lt;&gt;"","Yapıldı",IF(E8&lt;Ayarlar!$B$3,"Gecikti",IF(E8-Ayarlar!$B$3&lt;=Ayarlar!$B$15,"Yaklaşıyor","Planlandı")))</f>
        <v>Yapıldı</v>
      </c>
      <c r="H8" s="17" t="str">
        <f aca="false">IF(B8=D8,"Kendi mağazası!",IF(INDEX(Magazalar!$C:$C,MATCH(D8,Magazalar!$A:$A,0))&lt;&gt;C8,"Uzmanlık dışı",IF(INDEX(Magazalar!$B:$B,MATCH(D8,Magazalar!$A:$A,0))&lt;&gt;INDEX(Magazalar!$B:$B,MATCH(B8,Magazalar!$A:$A,0)),"Uygun (grup dışı)","Uygun")))</f>
        <v>Uygun (grup dışı)</v>
      </c>
      <c r="J8" s="21" t="s">
        <v>87</v>
      </c>
      <c r="K8" s="21" t="s">
        <v>94</v>
      </c>
      <c r="L8" s="22" t="n">
        <v>46446</v>
      </c>
      <c r="M8" s="9" t="n">
        <f aca="false">L8-Ayarlar!$B$3</f>
        <v>167</v>
      </c>
      <c r="N8" s="17" t="str">
        <f aca="false">IF(M8&lt;0,"Tarih geçti",IF(M8&lt;=Ayarlar!$B$15,"Yaklaşıyor",""))</f>
        <v/>
      </c>
    </row>
    <row r="9" customFormat="false" ht="15" hidden="false" customHeight="false" outlineLevel="0" collapsed="false">
      <c r="A9" s="21" t="s">
        <v>86</v>
      </c>
      <c r="B9" s="21" t="s">
        <v>89</v>
      </c>
      <c r="C9" s="21" t="s">
        <v>92</v>
      </c>
      <c r="D9" s="21" t="s">
        <v>93</v>
      </c>
      <c r="E9" s="22" t="n">
        <v>46052</v>
      </c>
      <c r="F9" s="23" t="n">
        <v>46050</v>
      </c>
      <c r="G9" s="17" t="str">
        <f aca="false">IF(F9&lt;&gt;"","Yapıldı",IF(E9&lt;Ayarlar!$B$3,"Gecikti",IF(E9-Ayarlar!$B$3&lt;=Ayarlar!$B$15,"Yaklaşıyor","Planlandı")))</f>
        <v>Yapıldı</v>
      </c>
      <c r="H9" s="17" t="str">
        <f aca="false">IF(B9=D9,"Kendi mağazası!",IF(INDEX(Magazalar!$C:$C,MATCH(D9,Magazalar!$A:$A,0))&lt;&gt;C9,"Uzmanlık dışı",IF(INDEX(Magazalar!$B:$B,MATCH(D9,Magazalar!$A:$A,0))&lt;&gt;INDEX(Magazalar!$B:$B,MATCH(B9,Magazalar!$A:$A,0)),"Uygun (grup dışı)","Uygun")))</f>
        <v>Uygun</v>
      </c>
      <c r="J9" s="21" t="s">
        <v>89</v>
      </c>
      <c r="K9" s="21" t="s">
        <v>88</v>
      </c>
      <c r="L9" s="22" t="n">
        <v>46359</v>
      </c>
      <c r="M9" s="9" t="n">
        <f aca="false">L9-Ayarlar!$B$3</f>
        <v>80</v>
      </c>
      <c r="N9" s="17" t="str">
        <f aca="false">IF(M9&lt;0,"Tarih geçti",IF(M9&lt;=Ayarlar!$B$15,"Yaklaşıyor",""))</f>
        <v/>
      </c>
    </row>
    <row r="10" customFormat="false" ht="15" hidden="false" customHeight="false" outlineLevel="0" collapsed="false">
      <c r="A10" s="21" t="s">
        <v>86</v>
      </c>
      <c r="B10" s="21" t="s">
        <v>89</v>
      </c>
      <c r="C10" s="21" t="s">
        <v>94</v>
      </c>
      <c r="D10" s="21" t="s">
        <v>87</v>
      </c>
      <c r="E10" s="22" t="n">
        <v>46050</v>
      </c>
      <c r="F10" s="23" t="n">
        <v>46053</v>
      </c>
      <c r="G10" s="17" t="str">
        <f aca="false">IF(F10&lt;&gt;"","Yapıldı",IF(E10&lt;Ayarlar!$B$3,"Gecikti",IF(E10-Ayarlar!$B$3&lt;=Ayarlar!$B$15,"Yaklaşıyor","Planlandı")))</f>
        <v>Yapıldı</v>
      </c>
      <c r="H10" s="17" t="str">
        <f aca="false">IF(B10=D10,"Kendi mağazası!",IF(INDEX(Magazalar!$C:$C,MATCH(D10,Magazalar!$A:$A,0))&lt;&gt;C10,"Uzmanlık dışı",IF(INDEX(Magazalar!$B:$B,MATCH(D10,Magazalar!$A:$A,0))&lt;&gt;INDEX(Magazalar!$B:$B,MATCH(B10,Magazalar!$A:$A,0)),"Uygun (grup dışı)","Uygun")))</f>
        <v>Uygun</v>
      </c>
      <c r="J10" s="21" t="s">
        <v>89</v>
      </c>
      <c r="K10" s="21" t="s">
        <v>92</v>
      </c>
      <c r="L10" s="22" t="n">
        <v>46342</v>
      </c>
      <c r="M10" s="9" t="n">
        <f aca="false">L10-Ayarlar!$B$3</f>
        <v>63</v>
      </c>
      <c r="N10" s="17" t="str">
        <f aca="false">IF(M10&lt;0,"Tarih geçti",IF(M10&lt;=Ayarlar!$B$15,"Yaklaşıyor",""))</f>
        <v/>
      </c>
    </row>
    <row r="11" customFormat="false" ht="15" hidden="false" customHeight="false" outlineLevel="0" collapsed="false">
      <c r="A11" s="21" t="s">
        <v>86</v>
      </c>
      <c r="B11" s="21" t="s">
        <v>93</v>
      </c>
      <c r="C11" s="21" t="s">
        <v>88</v>
      </c>
      <c r="D11" s="21" t="s">
        <v>89</v>
      </c>
      <c r="E11" s="22" t="n">
        <v>46078</v>
      </c>
      <c r="F11" s="23" t="n">
        <v>46078</v>
      </c>
      <c r="G11" s="17" t="str">
        <f aca="false">IF(F11&lt;&gt;"","Yapıldı",IF(E11&lt;Ayarlar!$B$3,"Gecikti",IF(E11-Ayarlar!$B$3&lt;=Ayarlar!$B$15,"Yaklaşıyor","Planlandı")))</f>
        <v>Yapıldı</v>
      </c>
      <c r="H11" s="17" t="str">
        <f aca="false">IF(B11=D11,"Kendi mağazası!",IF(INDEX(Magazalar!$C:$C,MATCH(D11,Magazalar!$A:$A,0))&lt;&gt;C11,"Uzmanlık dışı",IF(INDEX(Magazalar!$B:$B,MATCH(D11,Magazalar!$A:$A,0))&lt;&gt;INDEX(Magazalar!$B:$B,MATCH(B11,Magazalar!$A:$A,0)),"Uygun (grup dışı)","Uygun")))</f>
        <v>Uygun</v>
      </c>
      <c r="J11" s="21" t="s">
        <v>89</v>
      </c>
      <c r="K11" s="21" t="s">
        <v>94</v>
      </c>
      <c r="L11" s="22" t="n">
        <v>46245</v>
      </c>
      <c r="M11" s="9" t="n">
        <f aca="false">L11-Ayarlar!$B$3</f>
        <v>-34</v>
      </c>
      <c r="N11" s="17" t="str">
        <f aca="false">IF(M11&lt;0,"Tarih geçti",IF(M11&lt;=Ayarlar!$B$15,"Yaklaşıyor",""))</f>
        <v>Tarih geçti</v>
      </c>
    </row>
    <row r="12" customFormat="false" ht="15" hidden="false" customHeight="false" outlineLevel="0" collapsed="false">
      <c r="A12" s="21" t="s">
        <v>86</v>
      </c>
      <c r="B12" s="21" t="s">
        <v>93</v>
      </c>
      <c r="C12" s="21" t="s">
        <v>92</v>
      </c>
      <c r="D12" s="21" t="s">
        <v>97</v>
      </c>
      <c r="E12" s="22" t="n">
        <v>46066</v>
      </c>
      <c r="F12" s="23" t="n">
        <v>46069</v>
      </c>
      <c r="G12" s="17" t="str">
        <f aca="false">IF(F12&lt;&gt;"","Yapıldı",IF(E12&lt;Ayarlar!$B$3,"Gecikti",IF(E12-Ayarlar!$B$3&lt;=Ayarlar!$B$15,"Yaklaşıyor","Planlandı")))</f>
        <v>Yapıldı</v>
      </c>
      <c r="H12" s="17" t="str">
        <f aca="false">IF(B12=D12,"Kendi mağazası!",IF(INDEX(Magazalar!$C:$C,MATCH(D12,Magazalar!$A:$A,0))&lt;&gt;C12,"Uzmanlık dışı",IF(INDEX(Magazalar!$B:$B,MATCH(D12,Magazalar!$A:$A,0))&lt;&gt;INDEX(Magazalar!$B:$B,MATCH(B12,Magazalar!$A:$A,0)),"Uygun (grup dışı)","Uygun")))</f>
        <v>Uygun (grup dışı)</v>
      </c>
      <c r="J12" s="21" t="s">
        <v>93</v>
      </c>
      <c r="K12" s="21" t="s">
        <v>88</v>
      </c>
      <c r="L12" s="22" t="n">
        <v>46381</v>
      </c>
      <c r="M12" s="9" t="n">
        <f aca="false">L12-Ayarlar!$B$3</f>
        <v>102</v>
      </c>
      <c r="N12" s="17" t="str">
        <f aca="false">IF(M12&lt;0,"Tarih geçti",IF(M12&lt;=Ayarlar!$B$15,"Yaklaşıyor",""))</f>
        <v/>
      </c>
    </row>
    <row r="13" customFormat="false" ht="15" hidden="false" customHeight="false" outlineLevel="0" collapsed="false">
      <c r="A13" s="21" t="s">
        <v>86</v>
      </c>
      <c r="B13" s="21" t="s">
        <v>93</v>
      </c>
      <c r="C13" s="21" t="s">
        <v>94</v>
      </c>
      <c r="D13" s="21" t="s">
        <v>87</v>
      </c>
      <c r="E13" s="22" t="n">
        <v>46066</v>
      </c>
      <c r="F13" s="23" t="n">
        <v>46069</v>
      </c>
      <c r="G13" s="17" t="str">
        <f aca="false">IF(F13&lt;&gt;"","Yapıldı",IF(E13&lt;Ayarlar!$B$3,"Gecikti",IF(E13-Ayarlar!$B$3&lt;=Ayarlar!$B$15,"Yaklaşıyor","Planlandı")))</f>
        <v>Yapıldı</v>
      </c>
      <c r="H13" s="17" t="str">
        <f aca="false">IF(B13=D13,"Kendi mağazası!",IF(INDEX(Magazalar!$C:$C,MATCH(D13,Magazalar!$A:$A,0))&lt;&gt;C13,"Uzmanlık dışı",IF(INDEX(Magazalar!$B:$B,MATCH(D13,Magazalar!$A:$A,0))&lt;&gt;INDEX(Magazalar!$B:$B,MATCH(B13,Magazalar!$A:$A,0)),"Uygun (grup dışı)","Uygun")))</f>
        <v>Uygun</v>
      </c>
      <c r="J13" s="21" t="s">
        <v>93</v>
      </c>
      <c r="K13" s="21" t="s">
        <v>92</v>
      </c>
      <c r="L13" s="22" t="n">
        <v>46255</v>
      </c>
      <c r="M13" s="9" t="n">
        <f aca="false">L13-Ayarlar!$B$3</f>
        <v>-24</v>
      </c>
      <c r="N13" s="17" t="str">
        <f aca="false">IF(M13&lt;0,"Tarih geçti",IF(M13&lt;=Ayarlar!$B$15,"Yaklaşıyor",""))</f>
        <v>Tarih geçti</v>
      </c>
    </row>
    <row r="14" customFormat="false" ht="15" hidden="false" customHeight="false" outlineLevel="0" collapsed="false">
      <c r="A14" s="21" t="s">
        <v>86</v>
      </c>
      <c r="B14" s="21" t="s">
        <v>95</v>
      </c>
      <c r="C14" s="21" t="s">
        <v>88</v>
      </c>
      <c r="D14" s="21" t="s">
        <v>98</v>
      </c>
      <c r="E14" s="22" t="n">
        <v>46068</v>
      </c>
      <c r="F14" s="23" t="n">
        <v>46066</v>
      </c>
      <c r="G14" s="17" t="str">
        <f aca="false">IF(F14&lt;&gt;"","Yapıldı",IF(E14&lt;Ayarlar!$B$3,"Gecikti",IF(E14-Ayarlar!$B$3&lt;=Ayarlar!$B$15,"Yaklaşıyor","Planlandı")))</f>
        <v>Yapıldı</v>
      </c>
      <c r="H14" s="17" t="str">
        <f aca="false">IF(B14=D14,"Kendi mağazası!",IF(INDEX(Magazalar!$C:$C,MATCH(D14,Magazalar!$A:$A,0))&lt;&gt;C14,"Uzmanlık dışı",IF(INDEX(Magazalar!$B:$B,MATCH(D14,Magazalar!$A:$A,0))&lt;&gt;INDEX(Magazalar!$B:$B,MATCH(B14,Magazalar!$A:$A,0)),"Uygun (grup dışı)","Uygun")))</f>
        <v>Uygun</v>
      </c>
      <c r="J14" s="21" t="s">
        <v>93</v>
      </c>
      <c r="K14" s="21" t="s">
        <v>94</v>
      </c>
      <c r="L14" s="22" t="n">
        <v>46284</v>
      </c>
      <c r="M14" s="9" t="n">
        <f aca="false">L14-Ayarlar!$B$3</f>
        <v>5</v>
      </c>
      <c r="N14" s="17" t="str">
        <f aca="false">IF(M14&lt;0,"Tarih geçti",IF(M14&lt;=Ayarlar!$B$15,"Yaklaşıyor",""))</f>
        <v>Yaklaşıyor</v>
      </c>
    </row>
    <row r="15" customFormat="false" ht="15" hidden="false" customHeight="false" outlineLevel="0" collapsed="false">
      <c r="A15" s="21" t="s">
        <v>86</v>
      </c>
      <c r="B15" s="21" t="s">
        <v>95</v>
      </c>
      <c r="C15" s="21" t="s">
        <v>92</v>
      </c>
      <c r="D15" s="21" t="s">
        <v>97</v>
      </c>
      <c r="E15" s="22" t="n">
        <v>46049</v>
      </c>
      <c r="F15" s="23" t="n">
        <v>46052</v>
      </c>
      <c r="G15" s="17" t="str">
        <f aca="false">IF(F15&lt;&gt;"","Yapıldı",IF(E15&lt;Ayarlar!$B$3,"Gecikti",IF(E15-Ayarlar!$B$3&lt;=Ayarlar!$B$15,"Yaklaşıyor","Planlandı")))</f>
        <v>Yapıldı</v>
      </c>
      <c r="H15" s="17" t="str">
        <f aca="false">IF(B15=D15,"Kendi mağazası!",IF(INDEX(Magazalar!$C:$C,MATCH(D15,Magazalar!$A:$A,0))&lt;&gt;C15,"Uzmanlık dışı",IF(INDEX(Magazalar!$B:$B,MATCH(D15,Magazalar!$A:$A,0))&lt;&gt;INDEX(Magazalar!$B:$B,MATCH(B15,Magazalar!$A:$A,0)),"Uygun (grup dışı)","Uygun")))</f>
        <v>Uygun</v>
      </c>
      <c r="J15" s="21" t="s">
        <v>95</v>
      </c>
      <c r="K15" s="21" t="s">
        <v>88</v>
      </c>
      <c r="L15" s="22" t="n">
        <v>46305</v>
      </c>
      <c r="M15" s="9" t="n">
        <f aca="false">L15-Ayarlar!$B$3</f>
        <v>26</v>
      </c>
      <c r="N15" s="17" t="str">
        <f aca="false">IF(M15&lt;0,"Tarih geçti",IF(M15&lt;=Ayarlar!$B$15,"Yaklaşıyor",""))</f>
        <v>Yaklaşıyor</v>
      </c>
    </row>
    <row r="16" customFormat="false" ht="15" hidden="false" customHeight="false" outlineLevel="0" collapsed="false">
      <c r="A16" s="21" t="s">
        <v>86</v>
      </c>
      <c r="B16" s="21" t="s">
        <v>95</v>
      </c>
      <c r="C16" s="21" t="s">
        <v>94</v>
      </c>
      <c r="D16" s="21" t="s">
        <v>99</v>
      </c>
      <c r="E16" s="22" t="n">
        <v>46042</v>
      </c>
      <c r="F16" s="23" t="n">
        <v>46045</v>
      </c>
      <c r="G16" s="17" t="str">
        <f aca="false">IF(F16&lt;&gt;"","Yapıldı",IF(E16&lt;Ayarlar!$B$3,"Gecikti",IF(E16-Ayarlar!$B$3&lt;=Ayarlar!$B$15,"Yaklaşıyor","Planlandı")))</f>
        <v>Yapıldı</v>
      </c>
      <c r="H16" s="17" t="str">
        <f aca="false">IF(B16=D16,"Kendi mağazası!",IF(INDEX(Magazalar!$C:$C,MATCH(D16,Magazalar!$A:$A,0))&lt;&gt;C16,"Uzmanlık dışı",IF(INDEX(Magazalar!$B:$B,MATCH(D16,Magazalar!$A:$A,0))&lt;&gt;INDEX(Magazalar!$B:$B,MATCH(B16,Magazalar!$A:$A,0)),"Uygun (grup dışı)","Uygun")))</f>
        <v>Uygun (grup dışı)</v>
      </c>
      <c r="J16" s="21" t="s">
        <v>95</v>
      </c>
      <c r="K16" s="21" t="s">
        <v>92</v>
      </c>
      <c r="L16" s="22" t="n">
        <v>46255</v>
      </c>
      <c r="M16" s="9" t="n">
        <f aca="false">L16-Ayarlar!$B$3</f>
        <v>-24</v>
      </c>
      <c r="N16" s="17" t="str">
        <f aca="false">IF(M16&lt;0,"Tarih geçti",IF(M16&lt;=Ayarlar!$B$15,"Yaklaşıyor",""))</f>
        <v>Tarih geçti</v>
      </c>
    </row>
    <row r="17" customFormat="false" ht="15" hidden="false" customHeight="false" outlineLevel="0" collapsed="false">
      <c r="A17" s="21" t="s">
        <v>86</v>
      </c>
      <c r="B17" s="21" t="s">
        <v>98</v>
      </c>
      <c r="C17" s="21" t="s">
        <v>88</v>
      </c>
      <c r="D17" s="21" t="s">
        <v>89</v>
      </c>
      <c r="E17" s="22" t="n">
        <v>46051</v>
      </c>
      <c r="F17" s="23" t="n">
        <v>46051</v>
      </c>
      <c r="G17" s="17" t="str">
        <f aca="false">IF(F17&lt;&gt;"","Yapıldı",IF(E17&lt;Ayarlar!$B$3,"Gecikti",IF(E17-Ayarlar!$B$3&lt;=Ayarlar!$B$15,"Yaklaşıyor","Planlandı")))</f>
        <v>Yapıldı</v>
      </c>
      <c r="H17" s="17" t="str">
        <f aca="false">IF(B17=D17,"Kendi mağazası!",IF(INDEX(Magazalar!$C:$C,MATCH(D17,Magazalar!$A:$A,0))&lt;&gt;C17,"Uzmanlık dışı",IF(INDEX(Magazalar!$B:$B,MATCH(D17,Magazalar!$A:$A,0))&lt;&gt;INDEX(Magazalar!$B:$B,MATCH(B17,Magazalar!$A:$A,0)),"Uygun (grup dışı)","Uygun")))</f>
        <v>Uygun (grup dışı)</v>
      </c>
      <c r="J17" s="21" t="s">
        <v>95</v>
      </c>
      <c r="K17" s="21" t="s">
        <v>94</v>
      </c>
      <c r="L17" s="22" t="n">
        <v>46450</v>
      </c>
      <c r="M17" s="9" t="n">
        <f aca="false">L17-Ayarlar!$B$3</f>
        <v>171</v>
      </c>
      <c r="N17" s="17" t="str">
        <f aca="false">IF(M17&lt;0,"Tarih geçti",IF(M17&lt;=Ayarlar!$B$15,"Yaklaşıyor",""))</f>
        <v/>
      </c>
    </row>
    <row r="18" customFormat="false" ht="15" hidden="false" customHeight="false" outlineLevel="0" collapsed="false">
      <c r="A18" s="21" t="s">
        <v>86</v>
      </c>
      <c r="B18" s="21" t="s">
        <v>98</v>
      </c>
      <c r="C18" s="21" t="s">
        <v>92</v>
      </c>
      <c r="D18" s="21" t="s">
        <v>97</v>
      </c>
      <c r="E18" s="22" t="n">
        <v>46081</v>
      </c>
      <c r="F18" s="23" t="n">
        <v>46082</v>
      </c>
      <c r="G18" s="17" t="str">
        <f aca="false">IF(F18&lt;&gt;"","Yapıldı",IF(E18&lt;Ayarlar!$B$3,"Gecikti",IF(E18-Ayarlar!$B$3&lt;=Ayarlar!$B$15,"Yaklaşıyor","Planlandı")))</f>
        <v>Yapıldı</v>
      </c>
      <c r="H18" s="17" t="str">
        <f aca="false">IF(B18=D18,"Kendi mağazası!",IF(INDEX(Magazalar!$C:$C,MATCH(D18,Magazalar!$A:$A,0))&lt;&gt;C18,"Uzmanlık dışı",IF(INDEX(Magazalar!$B:$B,MATCH(D18,Magazalar!$A:$A,0))&lt;&gt;INDEX(Magazalar!$B:$B,MATCH(B18,Magazalar!$A:$A,0)),"Uygun (grup dışı)","Uygun")))</f>
        <v>Uygun</v>
      </c>
      <c r="J18" s="21" t="s">
        <v>98</v>
      </c>
      <c r="K18" s="21" t="s">
        <v>88</v>
      </c>
      <c r="L18" s="22" t="n">
        <v>46344</v>
      </c>
      <c r="M18" s="9" t="n">
        <f aca="false">L18-Ayarlar!$B$3</f>
        <v>65</v>
      </c>
      <c r="N18" s="17" t="str">
        <f aca="false">IF(M18&lt;0,"Tarih geçti",IF(M18&lt;=Ayarlar!$B$15,"Yaklaşıyor",""))</f>
        <v/>
      </c>
    </row>
    <row r="19" customFormat="false" ht="15" hidden="false" customHeight="false" outlineLevel="0" collapsed="false">
      <c r="A19" s="21" t="s">
        <v>86</v>
      </c>
      <c r="B19" s="21" t="s">
        <v>98</v>
      </c>
      <c r="C19" s="21" t="s">
        <v>94</v>
      </c>
      <c r="D19" s="21" t="s">
        <v>95</v>
      </c>
      <c r="E19" s="22" t="n">
        <v>46070</v>
      </c>
      <c r="F19" s="23" t="n">
        <v>46073</v>
      </c>
      <c r="G19" s="17" t="str">
        <f aca="false">IF(F19&lt;&gt;"","Yapıldı",IF(E19&lt;Ayarlar!$B$3,"Gecikti",IF(E19-Ayarlar!$B$3&lt;=Ayarlar!$B$15,"Yaklaşıyor","Planlandı")))</f>
        <v>Yapıldı</v>
      </c>
      <c r="H19" s="17" t="str">
        <f aca="false">IF(B19=D19,"Kendi mağazası!",IF(INDEX(Magazalar!$C:$C,MATCH(D19,Magazalar!$A:$A,0))&lt;&gt;C19,"Uzmanlık dışı",IF(INDEX(Magazalar!$B:$B,MATCH(D19,Magazalar!$A:$A,0))&lt;&gt;INDEX(Magazalar!$B:$B,MATCH(B19,Magazalar!$A:$A,0)),"Uygun (grup dışı)","Uygun")))</f>
        <v>Uygun</v>
      </c>
      <c r="J19" s="21" t="s">
        <v>98</v>
      </c>
      <c r="K19" s="21" t="s">
        <v>92</v>
      </c>
      <c r="L19" s="22" t="n">
        <v>46345</v>
      </c>
      <c r="M19" s="9" t="n">
        <f aca="false">L19-Ayarlar!$B$3</f>
        <v>66</v>
      </c>
      <c r="N19" s="17" t="str">
        <f aca="false">IF(M19&lt;0,"Tarih geçti",IF(M19&lt;=Ayarlar!$B$15,"Yaklaşıyor",""))</f>
        <v/>
      </c>
    </row>
    <row r="20" customFormat="false" ht="15" hidden="false" customHeight="false" outlineLevel="0" collapsed="false">
      <c r="A20" s="21" t="s">
        <v>86</v>
      </c>
      <c r="B20" s="21" t="s">
        <v>97</v>
      </c>
      <c r="C20" s="21" t="s">
        <v>88</v>
      </c>
      <c r="D20" s="21" t="s">
        <v>98</v>
      </c>
      <c r="E20" s="22" t="n">
        <v>46067</v>
      </c>
      <c r="F20" s="23" t="n">
        <v>46070</v>
      </c>
      <c r="G20" s="17" t="str">
        <f aca="false">IF(F20&lt;&gt;"","Yapıldı",IF(E20&lt;Ayarlar!$B$3,"Gecikti",IF(E20-Ayarlar!$B$3&lt;=Ayarlar!$B$15,"Yaklaşıyor","Planlandı")))</f>
        <v>Yapıldı</v>
      </c>
      <c r="H20" s="17" t="str">
        <f aca="false">IF(B20=D20,"Kendi mağazası!",IF(INDEX(Magazalar!$C:$C,MATCH(D20,Magazalar!$A:$A,0))&lt;&gt;C20,"Uzmanlık dışı",IF(INDEX(Magazalar!$B:$B,MATCH(D20,Magazalar!$A:$A,0))&lt;&gt;INDEX(Magazalar!$B:$B,MATCH(B20,Magazalar!$A:$A,0)),"Uygun (grup dışı)","Uygun")))</f>
        <v>Uygun</v>
      </c>
      <c r="J20" s="21" t="s">
        <v>98</v>
      </c>
      <c r="K20" s="21" t="s">
        <v>94</v>
      </c>
      <c r="L20" s="22" t="n">
        <v>46346</v>
      </c>
      <c r="M20" s="9" t="n">
        <f aca="false">L20-Ayarlar!$B$3</f>
        <v>67</v>
      </c>
      <c r="N20" s="17" t="str">
        <f aca="false">IF(M20&lt;0,"Tarih geçti",IF(M20&lt;=Ayarlar!$B$15,"Yaklaşıyor",""))</f>
        <v/>
      </c>
    </row>
    <row r="21" customFormat="false" ht="15" hidden="false" customHeight="false" outlineLevel="0" collapsed="false">
      <c r="A21" s="21" t="s">
        <v>86</v>
      </c>
      <c r="B21" s="21" t="s">
        <v>97</v>
      </c>
      <c r="C21" s="21" t="s">
        <v>92</v>
      </c>
      <c r="D21" s="21" t="s">
        <v>93</v>
      </c>
      <c r="E21" s="22" t="n">
        <v>46044</v>
      </c>
      <c r="F21" s="23" t="n">
        <v>46045</v>
      </c>
      <c r="G21" s="17" t="str">
        <f aca="false">IF(F21&lt;&gt;"","Yapıldı",IF(E21&lt;Ayarlar!$B$3,"Gecikti",IF(E21-Ayarlar!$B$3&lt;=Ayarlar!$B$15,"Yaklaşıyor","Planlandı")))</f>
        <v>Yapıldı</v>
      </c>
      <c r="H21" s="17" t="str">
        <f aca="false">IF(B21=D21,"Kendi mağazası!",IF(INDEX(Magazalar!$C:$C,MATCH(D21,Magazalar!$A:$A,0))&lt;&gt;C21,"Uzmanlık dışı",IF(INDEX(Magazalar!$B:$B,MATCH(D21,Magazalar!$A:$A,0))&lt;&gt;INDEX(Magazalar!$B:$B,MATCH(B21,Magazalar!$A:$A,0)),"Uygun (grup dışı)","Uygun")))</f>
        <v>Uygun (grup dışı)</v>
      </c>
      <c r="J21" s="21" t="s">
        <v>97</v>
      </c>
      <c r="K21" s="21" t="s">
        <v>88</v>
      </c>
      <c r="L21" s="22" t="n">
        <v>46323</v>
      </c>
      <c r="M21" s="9" t="n">
        <f aca="false">L21-Ayarlar!$B$3</f>
        <v>44</v>
      </c>
      <c r="N21" s="17" t="str">
        <f aca="false">IF(M21&lt;0,"Tarih geçti",IF(M21&lt;=Ayarlar!$B$15,"Yaklaşıyor",""))</f>
        <v/>
      </c>
    </row>
    <row r="22" customFormat="false" ht="15" hidden="false" customHeight="false" outlineLevel="0" collapsed="false">
      <c r="A22" s="21" t="s">
        <v>86</v>
      </c>
      <c r="B22" s="21" t="s">
        <v>97</v>
      </c>
      <c r="C22" s="21" t="s">
        <v>94</v>
      </c>
      <c r="D22" s="21" t="s">
        <v>95</v>
      </c>
      <c r="E22" s="22" t="n">
        <v>46043</v>
      </c>
      <c r="F22" s="23" t="n">
        <v>46043</v>
      </c>
      <c r="G22" s="17" t="str">
        <f aca="false">IF(F22&lt;&gt;"","Yapıldı",IF(E22&lt;Ayarlar!$B$3,"Gecikti",IF(E22-Ayarlar!$B$3&lt;=Ayarlar!$B$15,"Yaklaşıyor","Planlandı")))</f>
        <v>Yapıldı</v>
      </c>
      <c r="H22" s="17" t="str">
        <f aca="false">IF(B22=D22,"Kendi mağazası!",IF(INDEX(Magazalar!$C:$C,MATCH(D22,Magazalar!$A:$A,0))&lt;&gt;C22,"Uzmanlık dışı",IF(INDEX(Magazalar!$B:$B,MATCH(D22,Magazalar!$A:$A,0))&lt;&gt;INDEX(Magazalar!$B:$B,MATCH(B22,Magazalar!$A:$A,0)),"Uygun (grup dışı)","Uygun")))</f>
        <v>Uygun</v>
      </c>
      <c r="J22" s="21" t="s">
        <v>97</v>
      </c>
      <c r="K22" s="21" t="s">
        <v>92</v>
      </c>
      <c r="L22" s="22" t="n">
        <v>46379</v>
      </c>
      <c r="M22" s="9" t="n">
        <f aca="false">L22-Ayarlar!$B$3</f>
        <v>100</v>
      </c>
      <c r="N22" s="17" t="str">
        <f aca="false">IF(M22&lt;0,"Tarih geçti",IF(M22&lt;=Ayarlar!$B$15,"Yaklaşıyor",""))</f>
        <v/>
      </c>
    </row>
    <row r="23" customFormat="false" ht="15" hidden="false" customHeight="false" outlineLevel="0" collapsed="false">
      <c r="A23" s="21" t="s">
        <v>86</v>
      </c>
      <c r="B23" s="21" t="s">
        <v>96</v>
      </c>
      <c r="C23" s="21" t="s">
        <v>88</v>
      </c>
      <c r="D23" s="21" t="s">
        <v>89</v>
      </c>
      <c r="E23" s="22" t="n">
        <v>46061</v>
      </c>
      <c r="F23" s="23" t="n">
        <v>46059</v>
      </c>
      <c r="G23" s="17" t="str">
        <f aca="false">IF(F23&lt;&gt;"","Yapıldı",IF(E23&lt;Ayarlar!$B$3,"Gecikti",IF(E23-Ayarlar!$B$3&lt;=Ayarlar!$B$15,"Yaklaşıyor","Planlandı")))</f>
        <v>Yapıldı</v>
      </c>
      <c r="H23" s="17" t="str">
        <f aca="false">IF(B23=D23,"Kendi mağazası!",IF(INDEX(Magazalar!$C:$C,MATCH(D23,Magazalar!$A:$A,0))&lt;&gt;C23,"Uzmanlık dışı",IF(INDEX(Magazalar!$B:$B,MATCH(D23,Magazalar!$A:$A,0))&lt;&gt;INDEX(Magazalar!$B:$B,MATCH(B23,Magazalar!$A:$A,0)),"Uygun (grup dışı)","Uygun")))</f>
        <v>Uygun (grup dışı)</v>
      </c>
      <c r="J23" s="21" t="s">
        <v>97</v>
      </c>
      <c r="K23" s="21" t="s">
        <v>94</v>
      </c>
      <c r="L23" s="22" t="n">
        <v>46358</v>
      </c>
      <c r="M23" s="9" t="n">
        <f aca="false">L23-Ayarlar!$B$3</f>
        <v>79</v>
      </c>
      <c r="N23" s="17" t="str">
        <f aca="false">IF(M23&lt;0,"Tarih geçti",IF(M23&lt;=Ayarlar!$B$15,"Yaklaşıyor",""))</f>
        <v/>
      </c>
    </row>
    <row r="24" customFormat="false" ht="15" hidden="false" customHeight="false" outlineLevel="0" collapsed="false">
      <c r="A24" s="21" t="s">
        <v>86</v>
      </c>
      <c r="B24" s="21" t="s">
        <v>96</v>
      </c>
      <c r="C24" s="21" t="s">
        <v>92</v>
      </c>
      <c r="D24" s="21" t="s">
        <v>93</v>
      </c>
      <c r="E24" s="22" t="n">
        <v>46061</v>
      </c>
      <c r="F24" s="23" t="n">
        <v>46061</v>
      </c>
      <c r="G24" s="17" t="str">
        <f aca="false">IF(F24&lt;&gt;"","Yapıldı",IF(E24&lt;Ayarlar!$B$3,"Gecikti",IF(E24-Ayarlar!$B$3&lt;=Ayarlar!$B$15,"Yaklaşıyor","Planlandı")))</f>
        <v>Yapıldı</v>
      </c>
      <c r="H24" s="17" t="str">
        <f aca="false">IF(B24=D24,"Kendi mağazası!",IF(INDEX(Magazalar!$C:$C,MATCH(D24,Magazalar!$A:$A,0))&lt;&gt;C24,"Uzmanlık dışı",IF(INDEX(Magazalar!$B:$B,MATCH(D24,Magazalar!$A:$A,0))&lt;&gt;INDEX(Magazalar!$B:$B,MATCH(B24,Magazalar!$A:$A,0)),"Uygun (grup dışı)","Uygun")))</f>
        <v>Uygun (grup dışı)</v>
      </c>
      <c r="J24" s="21" t="s">
        <v>96</v>
      </c>
      <c r="K24" s="21" t="s">
        <v>88</v>
      </c>
      <c r="L24" s="22" t="n">
        <v>46297</v>
      </c>
      <c r="M24" s="9" t="n">
        <f aca="false">L24-Ayarlar!$B$3</f>
        <v>18</v>
      </c>
      <c r="N24" s="17" t="str">
        <f aca="false">IF(M24&lt;0,"Tarih geçti",IF(M24&lt;=Ayarlar!$B$15,"Yaklaşıyor",""))</f>
        <v>Yaklaşıyor</v>
      </c>
    </row>
    <row r="25" customFormat="false" ht="15" hidden="false" customHeight="false" outlineLevel="0" collapsed="false">
      <c r="A25" s="21" t="s">
        <v>86</v>
      </c>
      <c r="B25" s="21" t="s">
        <v>96</v>
      </c>
      <c r="C25" s="21" t="s">
        <v>94</v>
      </c>
      <c r="D25" s="21" t="s">
        <v>99</v>
      </c>
      <c r="E25" s="22" t="n">
        <v>46079</v>
      </c>
      <c r="F25" s="23" t="n">
        <v>46079</v>
      </c>
      <c r="G25" s="17" t="str">
        <f aca="false">IF(F25&lt;&gt;"","Yapıldı",IF(E25&lt;Ayarlar!$B$3,"Gecikti",IF(E25-Ayarlar!$B$3&lt;=Ayarlar!$B$15,"Yaklaşıyor","Planlandı")))</f>
        <v>Yapıldı</v>
      </c>
      <c r="H25" s="17" t="str">
        <f aca="false">IF(B25=D25,"Kendi mağazası!",IF(INDEX(Magazalar!$C:$C,MATCH(D25,Magazalar!$A:$A,0))&lt;&gt;C25,"Uzmanlık dışı",IF(INDEX(Magazalar!$B:$B,MATCH(D25,Magazalar!$A:$A,0))&lt;&gt;INDEX(Magazalar!$B:$B,MATCH(B25,Magazalar!$A:$A,0)),"Uygun (grup dışı)","Uygun")))</f>
        <v>Uygun</v>
      </c>
      <c r="J25" s="21" t="s">
        <v>96</v>
      </c>
      <c r="K25" s="21" t="s">
        <v>92</v>
      </c>
      <c r="L25" s="22" t="n">
        <v>46328</v>
      </c>
      <c r="M25" s="9" t="n">
        <f aca="false">L25-Ayarlar!$B$3</f>
        <v>49</v>
      </c>
      <c r="N25" s="17" t="str">
        <f aca="false">IF(M25&lt;0,"Tarih geçti",IF(M25&lt;=Ayarlar!$B$15,"Yaklaşıyor",""))</f>
        <v/>
      </c>
    </row>
    <row r="26" customFormat="false" ht="15" hidden="false" customHeight="false" outlineLevel="0" collapsed="false">
      <c r="A26" s="21" t="s">
        <v>86</v>
      </c>
      <c r="B26" s="21" t="s">
        <v>99</v>
      </c>
      <c r="C26" s="21" t="s">
        <v>88</v>
      </c>
      <c r="D26" s="21" t="s">
        <v>96</v>
      </c>
      <c r="E26" s="22" t="n">
        <v>46058</v>
      </c>
      <c r="F26" s="23" t="n">
        <v>46058</v>
      </c>
      <c r="G26" s="17" t="str">
        <f aca="false">IF(F26&lt;&gt;"","Yapıldı",IF(E26&lt;Ayarlar!$B$3,"Gecikti",IF(E26-Ayarlar!$B$3&lt;=Ayarlar!$B$15,"Yaklaşıyor","Planlandı")))</f>
        <v>Yapıldı</v>
      </c>
      <c r="H26" s="17" t="str">
        <f aca="false">IF(B26=D26,"Kendi mağazası!",IF(INDEX(Magazalar!$C:$C,MATCH(D26,Magazalar!$A:$A,0))&lt;&gt;C26,"Uzmanlık dışı",IF(INDEX(Magazalar!$B:$B,MATCH(D26,Magazalar!$A:$A,0))&lt;&gt;INDEX(Magazalar!$B:$B,MATCH(B26,Magazalar!$A:$A,0)),"Uygun (grup dışı)","Uygun")))</f>
        <v>Uygun</v>
      </c>
      <c r="J26" s="21" t="s">
        <v>96</v>
      </c>
      <c r="K26" s="21" t="s">
        <v>94</v>
      </c>
      <c r="L26" s="22" t="n">
        <v>46284</v>
      </c>
      <c r="M26" s="9" t="n">
        <f aca="false">L26-Ayarlar!$B$3</f>
        <v>5</v>
      </c>
      <c r="N26" s="17" t="str">
        <f aca="false">IF(M26&lt;0,"Tarih geçti",IF(M26&lt;=Ayarlar!$B$15,"Yaklaşıyor",""))</f>
        <v>Yaklaşıyor</v>
      </c>
    </row>
    <row r="27" customFormat="false" ht="15" hidden="false" customHeight="false" outlineLevel="0" collapsed="false">
      <c r="A27" s="21" t="s">
        <v>86</v>
      </c>
      <c r="B27" s="21" t="s">
        <v>99</v>
      </c>
      <c r="C27" s="21" t="s">
        <v>92</v>
      </c>
      <c r="D27" s="21" t="s">
        <v>97</v>
      </c>
      <c r="E27" s="22" t="n">
        <v>46081</v>
      </c>
      <c r="F27" s="23" t="n">
        <v>46081</v>
      </c>
      <c r="G27" s="17" t="str">
        <f aca="false">IF(F27&lt;&gt;"","Yapıldı",IF(E27&lt;Ayarlar!$B$3,"Gecikti",IF(E27-Ayarlar!$B$3&lt;=Ayarlar!$B$15,"Yaklaşıyor","Planlandı")))</f>
        <v>Yapıldı</v>
      </c>
      <c r="H27" s="17" t="str">
        <f aca="false">IF(B27=D27,"Kendi mağazası!",IF(INDEX(Magazalar!$C:$C,MATCH(D27,Magazalar!$A:$A,0))&lt;&gt;C27,"Uzmanlık dışı",IF(INDEX(Magazalar!$B:$B,MATCH(D27,Magazalar!$A:$A,0))&lt;&gt;INDEX(Magazalar!$B:$B,MATCH(B27,Magazalar!$A:$A,0)),"Uygun (grup dışı)","Uygun")))</f>
        <v>Uygun (grup dışı)</v>
      </c>
      <c r="J27" s="21" t="s">
        <v>99</v>
      </c>
      <c r="K27" s="21" t="s">
        <v>88</v>
      </c>
      <c r="L27" s="22" t="n">
        <v>46399</v>
      </c>
      <c r="M27" s="9" t="n">
        <f aca="false">L27-Ayarlar!$B$3</f>
        <v>120</v>
      </c>
      <c r="N27" s="17" t="str">
        <f aca="false">IF(M27&lt;0,"Tarih geçti",IF(M27&lt;=Ayarlar!$B$15,"Yaklaşıyor",""))</f>
        <v/>
      </c>
    </row>
    <row r="28" customFormat="false" ht="15" hidden="false" customHeight="false" outlineLevel="0" collapsed="false">
      <c r="A28" s="21" t="s">
        <v>86</v>
      </c>
      <c r="B28" s="21" t="s">
        <v>99</v>
      </c>
      <c r="C28" s="21" t="s">
        <v>94</v>
      </c>
      <c r="D28" s="21" t="s">
        <v>95</v>
      </c>
      <c r="E28" s="22" t="n">
        <v>46068</v>
      </c>
      <c r="F28" s="23" t="n">
        <v>46066</v>
      </c>
      <c r="G28" s="17" t="str">
        <f aca="false">IF(F28&lt;&gt;"","Yapıldı",IF(E28&lt;Ayarlar!$B$3,"Gecikti",IF(E28-Ayarlar!$B$3&lt;=Ayarlar!$B$15,"Yaklaşıyor","Planlandı")))</f>
        <v>Yapıldı</v>
      </c>
      <c r="H28" s="17" t="str">
        <f aca="false">IF(B28=D28,"Kendi mağazası!",IF(INDEX(Magazalar!$C:$C,MATCH(D28,Magazalar!$A:$A,0))&lt;&gt;C28,"Uzmanlık dışı",IF(INDEX(Magazalar!$B:$B,MATCH(D28,Magazalar!$A:$A,0))&lt;&gt;INDEX(Magazalar!$B:$B,MATCH(B28,Magazalar!$A:$A,0)),"Uygun (grup dışı)","Uygun")))</f>
        <v>Uygun (grup dışı)</v>
      </c>
      <c r="J28" s="21" t="s">
        <v>99</v>
      </c>
      <c r="K28" s="21" t="s">
        <v>92</v>
      </c>
      <c r="L28" s="22" t="n">
        <v>46265</v>
      </c>
      <c r="M28" s="9" t="n">
        <f aca="false">L28-Ayarlar!$B$3</f>
        <v>-14</v>
      </c>
      <c r="N28" s="17" t="str">
        <f aca="false">IF(M28&lt;0,"Tarih geçti",IF(M28&lt;=Ayarlar!$B$15,"Yaklaşıyor",""))</f>
        <v>Tarih geçti</v>
      </c>
    </row>
    <row r="29" customFormat="false" ht="15" hidden="false" customHeight="false" outlineLevel="0" collapsed="false">
      <c r="A29" s="21" t="s">
        <v>100</v>
      </c>
      <c r="B29" s="21" t="s">
        <v>87</v>
      </c>
      <c r="C29" s="21" t="s">
        <v>88</v>
      </c>
      <c r="D29" s="21" t="s">
        <v>89</v>
      </c>
      <c r="E29" s="22" t="n">
        <v>46140</v>
      </c>
      <c r="F29" s="23" t="n">
        <v>46138</v>
      </c>
      <c r="G29" s="17" t="str">
        <f aca="false">IF(F29&lt;&gt;"","Yapıldı",IF(E29&lt;Ayarlar!$B$3,"Gecikti",IF(E29-Ayarlar!$B$3&lt;=Ayarlar!$B$15,"Yaklaşıyor","Planlandı")))</f>
        <v>Yapıldı</v>
      </c>
      <c r="H29" s="17" t="str">
        <f aca="false">IF(B29=D29,"Kendi mağazası!",IF(INDEX(Magazalar!$C:$C,MATCH(D29,Magazalar!$A:$A,0))&lt;&gt;C29,"Uzmanlık dışı",IF(INDEX(Magazalar!$B:$B,MATCH(D29,Magazalar!$A:$A,0))&lt;&gt;INDEX(Magazalar!$B:$B,MATCH(B29,Magazalar!$A:$A,0)),"Uygun (grup dışı)","Uygun")))</f>
        <v>Uygun</v>
      </c>
      <c r="J29" s="21" t="s">
        <v>99</v>
      </c>
      <c r="K29" s="21" t="s">
        <v>94</v>
      </c>
      <c r="L29" s="22" t="n">
        <v>46237</v>
      </c>
      <c r="M29" s="9" t="n">
        <f aca="false">L29-Ayarlar!$B$3</f>
        <v>-42</v>
      </c>
      <c r="N29" s="17" t="str">
        <f aca="false">IF(M29&lt;0,"Tarih geçti",IF(M29&lt;=Ayarlar!$B$15,"Yaklaşıyor",""))</f>
        <v>Tarih geçti</v>
      </c>
    </row>
    <row r="30" customFormat="false" ht="15" hidden="false" customHeight="false" outlineLevel="0" collapsed="false">
      <c r="A30" s="21" t="s">
        <v>100</v>
      </c>
      <c r="B30" s="21" t="s">
        <v>87</v>
      </c>
      <c r="C30" s="21" t="s">
        <v>92</v>
      </c>
      <c r="D30" s="21" t="s">
        <v>93</v>
      </c>
      <c r="E30" s="22" t="n">
        <v>46136</v>
      </c>
      <c r="F30" s="23" t="n">
        <v>46134</v>
      </c>
      <c r="G30" s="17" t="str">
        <f aca="false">IF(F30&lt;&gt;"","Yapıldı",IF(E30&lt;Ayarlar!$B$3,"Gecikti",IF(E30-Ayarlar!$B$3&lt;=Ayarlar!$B$15,"Yaklaşıyor","Planlandı")))</f>
        <v>Yapıldı</v>
      </c>
      <c r="H30" s="17" t="str">
        <f aca="false">IF(B30=D30,"Kendi mağazası!",IF(INDEX(Magazalar!$C:$C,MATCH(D30,Magazalar!$A:$A,0))&lt;&gt;C30,"Uzmanlık dışı",IF(INDEX(Magazalar!$B:$B,MATCH(D30,Magazalar!$A:$A,0))&lt;&gt;INDEX(Magazalar!$B:$B,MATCH(B30,Magazalar!$A:$A,0)),"Uygun (grup dışı)","Uygun")))</f>
        <v>Uygun</v>
      </c>
    </row>
    <row r="31" customFormat="false" ht="15" hidden="false" customHeight="false" outlineLevel="0" collapsed="false">
      <c r="A31" s="21" t="s">
        <v>100</v>
      </c>
      <c r="B31" s="21" t="s">
        <v>87</v>
      </c>
      <c r="C31" s="21" t="s">
        <v>94</v>
      </c>
      <c r="D31" s="21" t="s">
        <v>99</v>
      </c>
      <c r="E31" s="22" t="n">
        <v>46131</v>
      </c>
      <c r="F31" s="23" t="n">
        <v>46129</v>
      </c>
      <c r="G31" s="17" t="str">
        <f aca="false">IF(F31&lt;&gt;"","Yapıldı",IF(E31&lt;Ayarlar!$B$3,"Gecikti",IF(E31-Ayarlar!$B$3&lt;=Ayarlar!$B$15,"Yaklaşıyor","Planlandı")))</f>
        <v>Yapıldı</v>
      </c>
      <c r="H31" s="17" t="str">
        <f aca="false">IF(B31=D31,"Kendi mağazası!",IF(INDEX(Magazalar!$C:$C,MATCH(D31,Magazalar!$A:$A,0))&lt;&gt;C31,"Uzmanlık dışı",IF(INDEX(Magazalar!$B:$B,MATCH(D31,Magazalar!$A:$A,0))&lt;&gt;INDEX(Magazalar!$B:$B,MATCH(B31,Magazalar!$A:$A,0)),"Uygun (grup dışı)","Uygun")))</f>
        <v>Uygun (grup dışı)</v>
      </c>
    </row>
    <row r="32" customFormat="false" ht="15" hidden="false" customHeight="false" outlineLevel="0" collapsed="false">
      <c r="A32" s="21" t="s">
        <v>100</v>
      </c>
      <c r="B32" s="21" t="s">
        <v>89</v>
      </c>
      <c r="C32" s="21" t="s">
        <v>88</v>
      </c>
      <c r="D32" s="21" t="s">
        <v>98</v>
      </c>
      <c r="E32" s="22" t="n">
        <v>46129</v>
      </c>
      <c r="F32" s="23" t="n">
        <v>46132</v>
      </c>
      <c r="G32" s="17" t="str">
        <f aca="false">IF(F32&lt;&gt;"","Yapıldı",IF(E32&lt;Ayarlar!$B$3,"Gecikti",IF(E32-Ayarlar!$B$3&lt;=Ayarlar!$B$15,"Yaklaşıyor","Planlandı")))</f>
        <v>Yapıldı</v>
      </c>
      <c r="H32" s="17" t="str">
        <f aca="false">IF(B32=D32,"Kendi mağazası!",IF(INDEX(Magazalar!$C:$C,MATCH(D32,Magazalar!$A:$A,0))&lt;&gt;C32,"Uzmanlık dışı",IF(INDEX(Magazalar!$B:$B,MATCH(D32,Magazalar!$A:$A,0))&lt;&gt;INDEX(Magazalar!$B:$B,MATCH(B32,Magazalar!$A:$A,0)),"Uygun (grup dışı)","Uygun")))</f>
        <v>Uygun (grup dışı)</v>
      </c>
    </row>
    <row r="33" customFormat="false" ht="15" hidden="false" customHeight="false" outlineLevel="0" collapsed="false">
      <c r="A33" s="21" t="s">
        <v>100</v>
      </c>
      <c r="B33" s="21" t="s">
        <v>89</v>
      </c>
      <c r="C33" s="21" t="s">
        <v>92</v>
      </c>
      <c r="D33" s="21" t="s">
        <v>93</v>
      </c>
      <c r="E33" s="22" t="n">
        <v>46171</v>
      </c>
      <c r="F33" s="23" t="n">
        <v>46171</v>
      </c>
      <c r="G33" s="17" t="str">
        <f aca="false">IF(F33&lt;&gt;"","Yapıldı",IF(E33&lt;Ayarlar!$B$3,"Gecikti",IF(E33-Ayarlar!$B$3&lt;=Ayarlar!$B$15,"Yaklaşıyor","Planlandı")))</f>
        <v>Yapıldı</v>
      </c>
      <c r="H33" s="17" t="str">
        <f aca="false">IF(B33=D33,"Kendi mağazası!",IF(INDEX(Magazalar!$C:$C,MATCH(D33,Magazalar!$A:$A,0))&lt;&gt;C33,"Uzmanlık dışı",IF(INDEX(Magazalar!$B:$B,MATCH(D33,Magazalar!$A:$A,0))&lt;&gt;INDEX(Magazalar!$B:$B,MATCH(B33,Magazalar!$A:$A,0)),"Uygun (grup dışı)","Uygun")))</f>
        <v>Uygun</v>
      </c>
    </row>
    <row r="34" customFormat="false" ht="15" hidden="false" customHeight="false" outlineLevel="0" collapsed="false">
      <c r="A34" s="21" t="s">
        <v>100</v>
      </c>
      <c r="B34" s="21" t="s">
        <v>89</v>
      </c>
      <c r="C34" s="21" t="s">
        <v>94</v>
      </c>
      <c r="D34" s="21" t="s">
        <v>87</v>
      </c>
      <c r="E34" s="22" t="n">
        <v>46136</v>
      </c>
      <c r="F34" s="23" t="n">
        <v>46134</v>
      </c>
      <c r="G34" s="17" t="str">
        <f aca="false">IF(F34&lt;&gt;"","Yapıldı",IF(E34&lt;Ayarlar!$B$3,"Gecikti",IF(E34-Ayarlar!$B$3&lt;=Ayarlar!$B$15,"Yaklaşıyor","Planlandı")))</f>
        <v>Yapıldı</v>
      </c>
      <c r="H34" s="17" t="str">
        <f aca="false">IF(B34=D34,"Kendi mağazası!",IF(INDEX(Magazalar!$C:$C,MATCH(D34,Magazalar!$A:$A,0))&lt;&gt;C34,"Uzmanlık dışı",IF(INDEX(Magazalar!$B:$B,MATCH(D34,Magazalar!$A:$A,0))&lt;&gt;INDEX(Magazalar!$B:$B,MATCH(B34,Magazalar!$A:$A,0)),"Uygun (grup dışı)","Uygun")))</f>
        <v>Uygun</v>
      </c>
    </row>
    <row r="35" customFormat="false" ht="15" hidden="false" customHeight="false" outlineLevel="0" collapsed="false">
      <c r="A35" s="21" t="s">
        <v>100</v>
      </c>
      <c r="B35" s="21" t="s">
        <v>93</v>
      </c>
      <c r="C35" s="21" t="s">
        <v>88</v>
      </c>
      <c r="D35" s="21" t="s">
        <v>89</v>
      </c>
      <c r="E35" s="22" t="n">
        <v>46156</v>
      </c>
      <c r="F35" s="23" t="n">
        <v>46154</v>
      </c>
      <c r="G35" s="17" t="str">
        <f aca="false">IF(F35&lt;&gt;"","Yapıldı",IF(E35&lt;Ayarlar!$B$3,"Gecikti",IF(E35-Ayarlar!$B$3&lt;=Ayarlar!$B$15,"Yaklaşıyor","Planlandı")))</f>
        <v>Yapıldı</v>
      </c>
      <c r="H35" s="17" t="str">
        <f aca="false">IF(B35=D35,"Kendi mağazası!",IF(INDEX(Magazalar!$C:$C,MATCH(D35,Magazalar!$A:$A,0))&lt;&gt;C35,"Uzmanlık dışı",IF(INDEX(Magazalar!$B:$B,MATCH(D35,Magazalar!$A:$A,0))&lt;&gt;INDEX(Magazalar!$B:$B,MATCH(B35,Magazalar!$A:$A,0)),"Uygun (grup dışı)","Uygun")))</f>
        <v>Uygun</v>
      </c>
    </row>
    <row r="36" customFormat="false" ht="15" hidden="false" customHeight="false" outlineLevel="0" collapsed="false">
      <c r="A36" s="21" t="s">
        <v>100</v>
      </c>
      <c r="B36" s="21" t="s">
        <v>93</v>
      </c>
      <c r="C36" s="21" t="s">
        <v>92</v>
      </c>
      <c r="D36" s="21" t="s">
        <v>97</v>
      </c>
      <c r="E36" s="22" t="n">
        <v>46155</v>
      </c>
      <c r="F36" s="23" t="n">
        <v>46156</v>
      </c>
      <c r="G36" s="17" t="str">
        <f aca="false">IF(F36&lt;&gt;"","Yapıldı",IF(E36&lt;Ayarlar!$B$3,"Gecikti",IF(E36-Ayarlar!$B$3&lt;=Ayarlar!$B$15,"Yaklaşıyor","Planlandı")))</f>
        <v>Yapıldı</v>
      </c>
      <c r="H36" s="17" t="str">
        <f aca="false">IF(B36=D36,"Kendi mağazası!",IF(INDEX(Magazalar!$C:$C,MATCH(D36,Magazalar!$A:$A,0))&lt;&gt;C36,"Uzmanlık dışı",IF(INDEX(Magazalar!$B:$B,MATCH(D36,Magazalar!$A:$A,0))&lt;&gt;INDEX(Magazalar!$B:$B,MATCH(B36,Magazalar!$A:$A,0)),"Uygun (grup dışı)","Uygun")))</f>
        <v>Uygun (grup dışı)</v>
      </c>
    </row>
    <row r="37" customFormat="false" ht="15" hidden="false" customHeight="false" outlineLevel="0" collapsed="false">
      <c r="A37" s="21" t="s">
        <v>100</v>
      </c>
      <c r="B37" s="21" t="s">
        <v>93</v>
      </c>
      <c r="C37" s="21" t="s">
        <v>94</v>
      </c>
      <c r="D37" s="21" t="s">
        <v>87</v>
      </c>
      <c r="E37" s="22" t="n">
        <v>46162</v>
      </c>
      <c r="F37" s="23" t="n">
        <v>46163</v>
      </c>
      <c r="G37" s="17" t="str">
        <f aca="false">IF(F37&lt;&gt;"","Yapıldı",IF(E37&lt;Ayarlar!$B$3,"Gecikti",IF(E37-Ayarlar!$B$3&lt;=Ayarlar!$B$15,"Yaklaşıyor","Planlandı")))</f>
        <v>Yapıldı</v>
      </c>
      <c r="H37" s="17" t="str">
        <f aca="false">IF(B37=D37,"Kendi mağazası!",IF(INDEX(Magazalar!$C:$C,MATCH(D37,Magazalar!$A:$A,0))&lt;&gt;C37,"Uzmanlık dışı",IF(INDEX(Magazalar!$B:$B,MATCH(D37,Magazalar!$A:$A,0))&lt;&gt;INDEX(Magazalar!$B:$B,MATCH(B37,Magazalar!$A:$A,0)),"Uygun (grup dışı)","Uygun")))</f>
        <v>Uygun</v>
      </c>
    </row>
    <row r="38" customFormat="false" ht="15" hidden="false" customHeight="false" outlineLevel="0" collapsed="false">
      <c r="A38" s="21" t="s">
        <v>100</v>
      </c>
      <c r="B38" s="21" t="s">
        <v>95</v>
      </c>
      <c r="C38" s="21" t="s">
        <v>88</v>
      </c>
      <c r="D38" s="21" t="s">
        <v>98</v>
      </c>
      <c r="E38" s="22" t="n">
        <v>46154</v>
      </c>
      <c r="F38" s="23" t="n">
        <v>46154</v>
      </c>
      <c r="G38" s="17" t="str">
        <f aca="false">IF(F38&lt;&gt;"","Yapıldı",IF(E38&lt;Ayarlar!$B$3,"Gecikti",IF(E38-Ayarlar!$B$3&lt;=Ayarlar!$B$15,"Yaklaşıyor","Planlandı")))</f>
        <v>Yapıldı</v>
      </c>
      <c r="H38" s="17" t="str">
        <f aca="false">IF(B38=D38,"Kendi mağazası!",IF(INDEX(Magazalar!$C:$C,MATCH(D38,Magazalar!$A:$A,0))&lt;&gt;C38,"Uzmanlık dışı",IF(INDEX(Magazalar!$B:$B,MATCH(D38,Magazalar!$A:$A,0))&lt;&gt;INDEX(Magazalar!$B:$B,MATCH(B38,Magazalar!$A:$A,0)),"Uygun (grup dışı)","Uygun")))</f>
        <v>Uygun</v>
      </c>
    </row>
    <row r="39" customFormat="false" ht="15" hidden="false" customHeight="false" outlineLevel="0" collapsed="false">
      <c r="A39" s="21" t="s">
        <v>100</v>
      </c>
      <c r="B39" s="21" t="s">
        <v>95</v>
      </c>
      <c r="C39" s="21" t="s">
        <v>92</v>
      </c>
      <c r="D39" s="21" t="s">
        <v>97</v>
      </c>
      <c r="E39" s="22" t="n">
        <v>46137</v>
      </c>
      <c r="F39" s="23" t="n">
        <v>46135</v>
      </c>
      <c r="G39" s="17" t="str">
        <f aca="false">IF(F39&lt;&gt;"","Yapıldı",IF(E39&lt;Ayarlar!$B$3,"Gecikti",IF(E39-Ayarlar!$B$3&lt;=Ayarlar!$B$15,"Yaklaşıyor","Planlandı")))</f>
        <v>Yapıldı</v>
      </c>
      <c r="H39" s="17" t="str">
        <f aca="false">IF(B39=D39,"Kendi mağazası!",IF(INDEX(Magazalar!$C:$C,MATCH(D39,Magazalar!$A:$A,0))&lt;&gt;C39,"Uzmanlık dışı",IF(INDEX(Magazalar!$B:$B,MATCH(D39,Magazalar!$A:$A,0))&lt;&gt;INDEX(Magazalar!$B:$B,MATCH(B39,Magazalar!$A:$A,0)),"Uygun (grup dışı)","Uygun")))</f>
        <v>Uygun</v>
      </c>
    </row>
    <row r="40" customFormat="false" ht="15" hidden="false" customHeight="false" outlineLevel="0" collapsed="false">
      <c r="A40" s="21" t="s">
        <v>100</v>
      </c>
      <c r="B40" s="21" t="s">
        <v>95</v>
      </c>
      <c r="C40" s="21" t="s">
        <v>94</v>
      </c>
      <c r="D40" s="21" t="s">
        <v>87</v>
      </c>
      <c r="E40" s="22" t="n">
        <v>46133</v>
      </c>
      <c r="F40" s="23" t="n">
        <v>46131</v>
      </c>
      <c r="G40" s="17" t="str">
        <f aca="false">IF(F40&lt;&gt;"","Yapıldı",IF(E40&lt;Ayarlar!$B$3,"Gecikti",IF(E40-Ayarlar!$B$3&lt;=Ayarlar!$B$15,"Yaklaşıyor","Planlandı")))</f>
        <v>Yapıldı</v>
      </c>
      <c r="H40" s="17" t="str">
        <f aca="false">IF(B40=D40,"Kendi mağazası!",IF(INDEX(Magazalar!$C:$C,MATCH(D40,Magazalar!$A:$A,0))&lt;&gt;C40,"Uzmanlık dışı",IF(INDEX(Magazalar!$B:$B,MATCH(D40,Magazalar!$A:$A,0))&lt;&gt;INDEX(Magazalar!$B:$B,MATCH(B40,Magazalar!$A:$A,0)),"Uygun (grup dışı)","Uygun")))</f>
        <v>Uygun (grup dışı)</v>
      </c>
    </row>
    <row r="41" customFormat="false" ht="15" hidden="false" customHeight="false" outlineLevel="0" collapsed="false">
      <c r="A41" s="21" t="s">
        <v>100</v>
      </c>
      <c r="B41" s="21" t="s">
        <v>98</v>
      </c>
      <c r="C41" s="21" t="s">
        <v>88</v>
      </c>
      <c r="D41" s="21" t="s">
        <v>96</v>
      </c>
      <c r="E41" s="22" t="n">
        <v>46171</v>
      </c>
      <c r="F41" s="23" t="n">
        <v>46172</v>
      </c>
      <c r="G41" s="17" t="str">
        <f aca="false">IF(F41&lt;&gt;"","Yapıldı",IF(E41&lt;Ayarlar!$B$3,"Gecikti",IF(E41-Ayarlar!$B$3&lt;=Ayarlar!$B$15,"Yaklaşıyor","Planlandı")))</f>
        <v>Yapıldı</v>
      </c>
      <c r="H41" s="17" t="str">
        <f aca="false">IF(B41=D41,"Kendi mağazası!",IF(INDEX(Magazalar!$C:$C,MATCH(D41,Magazalar!$A:$A,0))&lt;&gt;C41,"Uzmanlık dışı",IF(INDEX(Magazalar!$B:$B,MATCH(D41,Magazalar!$A:$A,0))&lt;&gt;INDEX(Magazalar!$B:$B,MATCH(B41,Magazalar!$A:$A,0)),"Uygun (grup dışı)","Uygun")))</f>
        <v>Uygun (grup dışı)</v>
      </c>
    </row>
    <row r="42" customFormat="false" ht="15" hidden="false" customHeight="false" outlineLevel="0" collapsed="false">
      <c r="A42" s="21" t="s">
        <v>100</v>
      </c>
      <c r="B42" s="21" t="s">
        <v>98</v>
      </c>
      <c r="C42" s="21" t="s">
        <v>92</v>
      </c>
      <c r="D42" s="21" t="s">
        <v>97</v>
      </c>
      <c r="E42" s="22" t="n">
        <v>46171</v>
      </c>
      <c r="F42" s="23" t="n">
        <v>46172</v>
      </c>
      <c r="G42" s="17" t="str">
        <f aca="false">IF(F42&lt;&gt;"","Yapıldı",IF(E42&lt;Ayarlar!$B$3,"Gecikti",IF(E42-Ayarlar!$B$3&lt;=Ayarlar!$B$15,"Yaklaşıyor","Planlandı")))</f>
        <v>Yapıldı</v>
      </c>
      <c r="H42" s="17" t="str">
        <f aca="false">IF(B42=D42,"Kendi mağazası!",IF(INDEX(Magazalar!$C:$C,MATCH(D42,Magazalar!$A:$A,0))&lt;&gt;C42,"Uzmanlık dışı",IF(INDEX(Magazalar!$B:$B,MATCH(D42,Magazalar!$A:$A,0))&lt;&gt;INDEX(Magazalar!$B:$B,MATCH(B42,Magazalar!$A:$A,0)),"Uygun (grup dışı)","Uygun")))</f>
        <v>Uygun</v>
      </c>
    </row>
    <row r="43" customFormat="false" ht="15" hidden="false" customHeight="false" outlineLevel="0" collapsed="false">
      <c r="A43" s="21" t="s">
        <v>100</v>
      </c>
      <c r="B43" s="21" t="s">
        <v>98</v>
      </c>
      <c r="C43" s="21" t="s">
        <v>94</v>
      </c>
      <c r="D43" s="21" t="s">
        <v>95</v>
      </c>
      <c r="E43" s="22" t="n">
        <v>46168</v>
      </c>
      <c r="F43" s="23" t="n">
        <v>46171</v>
      </c>
      <c r="G43" s="17" t="str">
        <f aca="false">IF(F43&lt;&gt;"","Yapıldı",IF(E43&lt;Ayarlar!$B$3,"Gecikti",IF(E43-Ayarlar!$B$3&lt;=Ayarlar!$B$15,"Yaklaşıyor","Planlandı")))</f>
        <v>Yapıldı</v>
      </c>
      <c r="H43" s="17" t="str">
        <f aca="false">IF(B43=D43,"Kendi mağazası!",IF(INDEX(Magazalar!$C:$C,MATCH(D43,Magazalar!$A:$A,0))&lt;&gt;C43,"Uzmanlık dışı",IF(INDEX(Magazalar!$B:$B,MATCH(D43,Magazalar!$A:$A,0))&lt;&gt;INDEX(Magazalar!$B:$B,MATCH(B43,Magazalar!$A:$A,0)),"Uygun (grup dışı)","Uygun")))</f>
        <v>Uygun</v>
      </c>
    </row>
    <row r="44" customFormat="false" ht="15" hidden="false" customHeight="false" outlineLevel="0" collapsed="false">
      <c r="A44" s="21" t="s">
        <v>100</v>
      </c>
      <c r="B44" s="21" t="s">
        <v>97</v>
      </c>
      <c r="C44" s="21" t="s">
        <v>88</v>
      </c>
      <c r="D44" s="21" t="s">
        <v>98</v>
      </c>
      <c r="E44" s="22" t="n">
        <v>46159</v>
      </c>
      <c r="F44" s="23" t="n">
        <v>46157</v>
      </c>
      <c r="G44" s="17" t="str">
        <f aca="false">IF(F44&lt;&gt;"","Yapıldı",IF(E44&lt;Ayarlar!$B$3,"Gecikti",IF(E44-Ayarlar!$B$3&lt;=Ayarlar!$B$15,"Yaklaşıyor","Planlandı")))</f>
        <v>Yapıldı</v>
      </c>
      <c r="H44" s="17" t="str">
        <f aca="false">IF(B44=D44,"Kendi mağazası!",IF(INDEX(Magazalar!$C:$C,MATCH(D44,Magazalar!$A:$A,0))&lt;&gt;C44,"Uzmanlık dışı",IF(INDEX(Magazalar!$B:$B,MATCH(D44,Magazalar!$A:$A,0))&lt;&gt;INDEX(Magazalar!$B:$B,MATCH(B44,Magazalar!$A:$A,0)),"Uygun (grup dışı)","Uygun")))</f>
        <v>Uygun</v>
      </c>
    </row>
    <row r="45" customFormat="false" ht="15" hidden="false" customHeight="false" outlineLevel="0" collapsed="false">
      <c r="A45" s="21" t="s">
        <v>100</v>
      </c>
      <c r="B45" s="21" t="s">
        <v>97</v>
      </c>
      <c r="C45" s="21" t="s">
        <v>92</v>
      </c>
      <c r="D45" s="21" t="s">
        <v>93</v>
      </c>
      <c r="E45" s="22" t="n">
        <v>46139</v>
      </c>
      <c r="F45" s="23" t="n">
        <v>46140</v>
      </c>
      <c r="G45" s="17" t="str">
        <f aca="false">IF(F45&lt;&gt;"","Yapıldı",IF(E45&lt;Ayarlar!$B$3,"Gecikti",IF(E45-Ayarlar!$B$3&lt;=Ayarlar!$B$15,"Yaklaşıyor","Planlandı")))</f>
        <v>Yapıldı</v>
      </c>
      <c r="H45" s="17" t="str">
        <f aca="false">IF(B45=D45,"Kendi mağazası!",IF(INDEX(Magazalar!$C:$C,MATCH(D45,Magazalar!$A:$A,0))&lt;&gt;C45,"Uzmanlık dışı",IF(INDEX(Magazalar!$B:$B,MATCH(D45,Magazalar!$A:$A,0))&lt;&gt;INDEX(Magazalar!$B:$B,MATCH(B45,Magazalar!$A:$A,0)),"Uygun (grup dışı)","Uygun")))</f>
        <v>Uygun (grup dışı)</v>
      </c>
    </row>
    <row r="46" customFormat="false" ht="15" hidden="false" customHeight="false" outlineLevel="0" collapsed="false">
      <c r="A46" s="21" t="s">
        <v>100</v>
      </c>
      <c r="B46" s="21" t="s">
        <v>97</v>
      </c>
      <c r="C46" s="21" t="s">
        <v>94</v>
      </c>
      <c r="D46" s="21" t="s">
        <v>95</v>
      </c>
      <c r="E46" s="22" t="n">
        <v>46136</v>
      </c>
      <c r="F46" s="23" t="n">
        <v>46137</v>
      </c>
      <c r="G46" s="17" t="str">
        <f aca="false">IF(F46&lt;&gt;"","Yapıldı",IF(E46&lt;Ayarlar!$B$3,"Gecikti",IF(E46-Ayarlar!$B$3&lt;=Ayarlar!$B$15,"Yaklaşıyor","Planlandı")))</f>
        <v>Yapıldı</v>
      </c>
      <c r="H46" s="17" t="str">
        <f aca="false">IF(B46=D46,"Kendi mağazası!",IF(INDEX(Magazalar!$C:$C,MATCH(D46,Magazalar!$A:$A,0))&lt;&gt;C46,"Uzmanlık dışı",IF(INDEX(Magazalar!$B:$B,MATCH(D46,Magazalar!$A:$A,0))&lt;&gt;INDEX(Magazalar!$B:$B,MATCH(B46,Magazalar!$A:$A,0)),"Uygun (grup dışı)","Uygun")))</f>
        <v>Uygun</v>
      </c>
    </row>
    <row r="47" customFormat="false" ht="15" hidden="false" customHeight="false" outlineLevel="0" collapsed="false">
      <c r="A47" s="21" t="s">
        <v>100</v>
      </c>
      <c r="B47" s="21" t="s">
        <v>96</v>
      </c>
      <c r="C47" s="21" t="s">
        <v>88</v>
      </c>
      <c r="D47" s="21" t="s">
        <v>98</v>
      </c>
      <c r="E47" s="22" t="n">
        <v>46160</v>
      </c>
      <c r="F47" s="23" t="n">
        <v>46161</v>
      </c>
      <c r="G47" s="17" t="str">
        <f aca="false">IF(F47&lt;&gt;"","Yapıldı",IF(E47&lt;Ayarlar!$B$3,"Gecikti",IF(E47-Ayarlar!$B$3&lt;=Ayarlar!$B$15,"Yaklaşıyor","Planlandı")))</f>
        <v>Yapıldı</v>
      </c>
      <c r="H47" s="17" t="str">
        <f aca="false">IF(B47=D47,"Kendi mağazası!",IF(INDEX(Magazalar!$C:$C,MATCH(D47,Magazalar!$A:$A,0))&lt;&gt;C47,"Uzmanlık dışı",IF(INDEX(Magazalar!$B:$B,MATCH(D47,Magazalar!$A:$A,0))&lt;&gt;INDEX(Magazalar!$B:$B,MATCH(B47,Magazalar!$A:$A,0)),"Uygun (grup dışı)","Uygun")))</f>
        <v>Uygun (grup dışı)</v>
      </c>
    </row>
    <row r="48" customFormat="false" ht="15" hidden="false" customHeight="false" outlineLevel="0" collapsed="false">
      <c r="A48" s="21" t="s">
        <v>100</v>
      </c>
      <c r="B48" s="21" t="s">
        <v>96</v>
      </c>
      <c r="C48" s="21" t="s">
        <v>92</v>
      </c>
      <c r="D48" s="21" t="s">
        <v>97</v>
      </c>
      <c r="E48" s="22" t="n">
        <v>46159</v>
      </c>
      <c r="F48" s="23" t="n">
        <v>46159</v>
      </c>
      <c r="G48" s="17" t="str">
        <f aca="false">IF(F48&lt;&gt;"","Yapıldı",IF(E48&lt;Ayarlar!$B$3,"Gecikti",IF(E48-Ayarlar!$B$3&lt;=Ayarlar!$B$15,"Yaklaşıyor","Planlandı")))</f>
        <v>Yapıldı</v>
      </c>
      <c r="H48" s="17" t="str">
        <f aca="false">IF(B48=D48,"Kendi mağazası!",IF(INDEX(Magazalar!$C:$C,MATCH(D48,Magazalar!$A:$A,0))&lt;&gt;C48,"Uzmanlık dışı",IF(INDEX(Magazalar!$B:$B,MATCH(D48,Magazalar!$A:$A,0))&lt;&gt;INDEX(Magazalar!$B:$B,MATCH(B48,Magazalar!$A:$A,0)),"Uygun (grup dışı)","Uygun")))</f>
        <v>Uygun (grup dışı)</v>
      </c>
    </row>
    <row r="49" customFormat="false" ht="15" hidden="false" customHeight="false" outlineLevel="0" collapsed="false">
      <c r="A49" s="21" t="s">
        <v>100</v>
      </c>
      <c r="B49" s="21" t="s">
        <v>96</v>
      </c>
      <c r="C49" s="21" t="s">
        <v>94</v>
      </c>
      <c r="D49" s="21" t="s">
        <v>99</v>
      </c>
      <c r="E49" s="22" t="n">
        <v>46159</v>
      </c>
      <c r="F49" s="23" t="n">
        <v>46157</v>
      </c>
      <c r="G49" s="17" t="str">
        <f aca="false">IF(F49&lt;&gt;"","Yapıldı",IF(E49&lt;Ayarlar!$B$3,"Gecikti",IF(E49-Ayarlar!$B$3&lt;=Ayarlar!$B$15,"Yaklaşıyor","Planlandı")))</f>
        <v>Yapıldı</v>
      </c>
      <c r="H49" s="17" t="str">
        <f aca="false">IF(B49=D49,"Kendi mağazası!",IF(INDEX(Magazalar!$C:$C,MATCH(D49,Magazalar!$A:$A,0))&lt;&gt;C49,"Uzmanlık dışı",IF(INDEX(Magazalar!$B:$B,MATCH(D49,Magazalar!$A:$A,0))&lt;&gt;INDEX(Magazalar!$B:$B,MATCH(B49,Magazalar!$A:$A,0)),"Uygun (grup dışı)","Uygun")))</f>
        <v>Uygun</v>
      </c>
    </row>
    <row r="50" customFormat="false" ht="15" hidden="false" customHeight="false" outlineLevel="0" collapsed="false">
      <c r="A50" s="21" t="s">
        <v>100</v>
      </c>
      <c r="B50" s="21" t="s">
        <v>99</v>
      </c>
      <c r="C50" s="21" t="s">
        <v>88</v>
      </c>
      <c r="D50" s="21" t="s">
        <v>96</v>
      </c>
      <c r="E50" s="22" t="n">
        <v>46141</v>
      </c>
      <c r="F50" s="23" t="n">
        <v>46142</v>
      </c>
      <c r="G50" s="17" t="str">
        <f aca="false">IF(F50&lt;&gt;"","Yapıldı",IF(E50&lt;Ayarlar!$B$3,"Gecikti",IF(E50-Ayarlar!$B$3&lt;=Ayarlar!$B$15,"Yaklaşıyor","Planlandı")))</f>
        <v>Yapıldı</v>
      </c>
      <c r="H50" s="17" t="str">
        <f aca="false">IF(B50=D50,"Kendi mağazası!",IF(INDEX(Magazalar!$C:$C,MATCH(D50,Magazalar!$A:$A,0))&lt;&gt;C50,"Uzmanlık dışı",IF(INDEX(Magazalar!$B:$B,MATCH(D50,Magazalar!$A:$A,0))&lt;&gt;INDEX(Magazalar!$B:$B,MATCH(B50,Magazalar!$A:$A,0)),"Uygun (grup dışı)","Uygun")))</f>
        <v>Uygun</v>
      </c>
    </row>
    <row r="51" customFormat="false" ht="15" hidden="false" customHeight="false" outlineLevel="0" collapsed="false">
      <c r="A51" s="21" t="s">
        <v>100</v>
      </c>
      <c r="B51" s="21" t="s">
        <v>99</v>
      </c>
      <c r="C51" s="21" t="s">
        <v>92</v>
      </c>
      <c r="D51" s="21" t="s">
        <v>93</v>
      </c>
      <c r="E51" s="22" t="n">
        <v>46142</v>
      </c>
      <c r="F51" s="23" t="n">
        <v>46142</v>
      </c>
      <c r="G51" s="17" t="str">
        <f aca="false">IF(F51&lt;&gt;"","Yapıldı",IF(E51&lt;Ayarlar!$B$3,"Gecikti",IF(E51-Ayarlar!$B$3&lt;=Ayarlar!$B$15,"Yaklaşıyor","Planlandı")))</f>
        <v>Yapıldı</v>
      </c>
      <c r="H51" s="17" t="str">
        <f aca="false">IF(B51=D51,"Kendi mağazası!",IF(INDEX(Magazalar!$C:$C,MATCH(D51,Magazalar!$A:$A,0))&lt;&gt;C51,"Uzmanlık dışı",IF(INDEX(Magazalar!$B:$B,MATCH(D51,Magazalar!$A:$A,0))&lt;&gt;INDEX(Magazalar!$B:$B,MATCH(B51,Magazalar!$A:$A,0)),"Uygun (grup dışı)","Uygun")))</f>
        <v>Uygun (grup dışı)</v>
      </c>
    </row>
    <row r="52" customFormat="false" ht="15" hidden="false" customHeight="false" outlineLevel="0" collapsed="false">
      <c r="A52" s="21" t="s">
        <v>100</v>
      </c>
      <c r="B52" s="21" t="s">
        <v>99</v>
      </c>
      <c r="C52" s="21" t="s">
        <v>94</v>
      </c>
      <c r="D52" s="21" t="s">
        <v>87</v>
      </c>
      <c r="E52" s="22" t="n">
        <v>46145</v>
      </c>
      <c r="F52" s="23" t="n">
        <v>46146</v>
      </c>
      <c r="G52" s="17" t="str">
        <f aca="false">IF(F52&lt;&gt;"","Yapıldı",IF(E52&lt;Ayarlar!$B$3,"Gecikti",IF(E52-Ayarlar!$B$3&lt;=Ayarlar!$B$15,"Yaklaşıyor","Planlandı")))</f>
        <v>Yapıldı</v>
      </c>
      <c r="H52" s="17" t="str">
        <f aca="false">IF(B52=D52,"Kendi mağazası!",IF(INDEX(Magazalar!$C:$C,MATCH(D52,Magazalar!$A:$A,0))&lt;&gt;C52,"Uzmanlık dışı",IF(INDEX(Magazalar!$B:$B,MATCH(D52,Magazalar!$A:$A,0))&lt;&gt;INDEX(Magazalar!$B:$B,MATCH(B52,Magazalar!$A:$A,0)),"Uygun (grup dışı)","Uygun")))</f>
        <v>Uygun (grup dışı)</v>
      </c>
    </row>
    <row r="53" customFormat="false" ht="15" hidden="false" customHeight="false" outlineLevel="0" collapsed="false">
      <c r="A53" s="21" t="s">
        <v>101</v>
      </c>
      <c r="B53" s="21" t="s">
        <v>87</v>
      </c>
      <c r="C53" s="21" t="s">
        <v>88</v>
      </c>
      <c r="D53" s="21" t="s">
        <v>89</v>
      </c>
      <c r="E53" s="22" t="n">
        <v>46232</v>
      </c>
      <c r="F53" s="23"/>
      <c r="G53" s="17" t="str">
        <f aca="false">IF(F53&lt;&gt;"","Yapıldı",IF(E53&lt;Ayarlar!$B$3,"Gecikti",IF(E53-Ayarlar!$B$3&lt;=Ayarlar!$B$15,"Yaklaşıyor","Planlandı")))</f>
        <v>Gecikti</v>
      </c>
      <c r="H53" s="17" t="str">
        <f aca="false">IF(B53=D53,"Kendi mağazası!",IF(INDEX(Magazalar!$C:$C,MATCH(D53,Magazalar!$A:$A,0))&lt;&gt;C53,"Uzmanlık dışı",IF(INDEX(Magazalar!$B:$B,MATCH(D53,Magazalar!$A:$A,0))&lt;&gt;INDEX(Magazalar!$B:$B,MATCH(B53,Magazalar!$A:$A,0)),"Uygun (grup dışı)","Uygun")))</f>
        <v>Uygun</v>
      </c>
    </row>
    <row r="54" customFormat="false" ht="15" hidden="false" customHeight="false" outlineLevel="0" collapsed="false">
      <c r="A54" s="21" t="s">
        <v>101</v>
      </c>
      <c r="B54" s="21" t="s">
        <v>87</v>
      </c>
      <c r="C54" s="21" t="s">
        <v>92</v>
      </c>
      <c r="D54" s="21" t="s">
        <v>93</v>
      </c>
      <c r="E54" s="22" t="n">
        <v>46234</v>
      </c>
      <c r="F54" s="23" t="n">
        <v>46237</v>
      </c>
      <c r="G54" s="17" t="str">
        <f aca="false">IF(F54&lt;&gt;"","Yapıldı",IF(E54&lt;Ayarlar!$B$3,"Gecikti",IF(E54-Ayarlar!$B$3&lt;=Ayarlar!$B$15,"Yaklaşıyor","Planlandı")))</f>
        <v>Yapıldı</v>
      </c>
      <c r="H54" s="17" t="str">
        <f aca="false">IF(B54=D54,"Kendi mağazası!",IF(INDEX(Magazalar!$C:$C,MATCH(D54,Magazalar!$A:$A,0))&lt;&gt;C54,"Uzmanlık dışı",IF(INDEX(Magazalar!$B:$B,MATCH(D54,Magazalar!$A:$A,0))&lt;&gt;INDEX(Magazalar!$B:$B,MATCH(B54,Magazalar!$A:$A,0)),"Uygun (grup dışı)","Uygun")))</f>
        <v>Uygun</v>
      </c>
    </row>
    <row r="55" customFormat="false" ht="15" hidden="false" customHeight="false" outlineLevel="0" collapsed="false">
      <c r="A55" s="21" t="s">
        <v>101</v>
      </c>
      <c r="B55" s="21" t="s">
        <v>87</v>
      </c>
      <c r="C55" s="21" t="s">
        <v>94</v>
      </c>
      <c r="D55" s="21" t="s">
        <v>95</v>
      </c>
      <c r="E55" s="22" t="n">
        <v>46263</v>
      </c>
      <c r="F55" s="23"/>
      <c r="G55" s="17" t="str">
        <f aca="false">IF(F55&lt;&gt;"","Yapıldı",IF(E55&lt;Ayarlar!$B$3,"Gecikti",IF(E55-Ayarlar!$B$3&lt;=Ayarlar!$B$15,"Yaklaşıyor","Planlandı")))</f>
        <v>Gecikti</v>
      </c>
      <c r="H55" s="17" t="str">
        <f aca="false">IF(B55=D55,"Kendi mağazası!",IF(INDEX(Magazalar!$C:$C,MATCH(D55,Magazalar!$A:$A,0))&lt;&gt;C55,"Uzmanlık dışı",IF(INDEX(Magazalar!$B:$B,MATCH(D55,Magazalar!$A:$A,0))&lt;&gt;INDEX(Magazalar!$B:$B,MATCH(B55,Magazalar!$A:$A,0)),"Uygun (grup dışı)","Uygun")))</f>
        <v>Uygun (grup dışı)</v>
      </c>
    </row>
    <row r="56" customFormat="false" ht="15" hidden="false" customHeight="false" outlineLevel="0" collapsed="false">
      <c r="A56" s="21" t="s">
        <v>101</v>
      </c>
      <c r="B56" s="21" t="s">
        <v>89</v>
      </c>
      <c r="C56" s="21" t="s">
        <v>88</v>
      </c>
      <c r="D56" s="21" t="s">
        <v>96</v>
      </c>
      <c r="E56" s="22" t="n">
        <v>46243</v>
      </c>
      <c r="F56" s="23"/>
      <c r="G56" s="17" t="str">
        <f aca="false">IF(F56&lt;&gt;"","Yapıldı",IF(E56&lt;Ayarlar!$B$3,"Gecikti",IF(E56-Ayarlar!$B$3&lt;=Ayarlar!$B$15,"Yaklaşıyor","Planlandı")))</f>
        <v>Gecikti</v>
      </c>
      <c r="H56" s="17" t="str">
        <f aca="false">IF(B56=D56,"Kendi mağazası!",IF(INDEX(Magazalar!$C:$C,MATCH(D56,Magazalar!$A:$A,0))&lt;&gt;C56,"Uzmanlık dışı",IF(INDEX(Magazalar!$B:$B,MATCH(D56,Magazalar!$A:$A,0))&lt;&gt;INDEX(Magazalar!$B:$B,MATCH(B56,Magazalar!$A:$A,0)),"Uygun (grup dışı)","Uygun")))</f>
        <v>Uygun (grup dışı)</v>
      </c>
    </row>
    <row r="57" customFormat="false" ht="15" hidden="false" customHeight="false" outlineLevel="0" collapsed="false">
      <c r="A57" s="21" t="s">
        <v>101</v>
      </c>
      <c r="B57" s="21" t="s">
        <v>89</v>
      </c>
      <c r="C57" s="21" t="s">
        <v>92</v>
      </c>
      <c r="D57" s="21" t="s">
        <v>93</v>
      </c>
      <c r="E57" s="22" t="n">
        <v>46260</v>
      </c>
      <c r="F57" s="23"/>
      <c r="G57" s="17" t="str">
        <f aca="false">IF(F57&lt;&gt;"","Yapıldı",IF(E57&lt;Ayarlar!$B$3,"Gecikti",IF(E57-Ayarlar!$B$3&lt;=Ayarlar!$B$15,"Yaklaşıyor","Planlandı")))</f>
        <v>Gecikti</v>
      </c>
      <c r="H57" s="17" t="str">
        <f aca="false">IF(B57=D57,"Kendi mağazası!",IF(INDEX(Magazalar!$C:$C,MATCH(D57,Magazalar!$A:$A,0))&lt;&gt;C57,"Uzmanlık dışı",IF(INDEX(Magazalar!$B:$B,MATCH(D57,Magazalar!$A:$A,0))&lt;&gt;INDEX(Magazalar!$B:$B,MATCH(B57,Magazalar!$A:$A,0)),"Uygun (grup dışı)","Uygun")))</f>
        <v>Uygun</v>
      </c>
    </row>
    <row r="58" customFormat="false" ht="15" hidden="false" customHeight="false" outlineLevel="0" collapsed="false">
      <c r="A58" s="21" t="s">
        <v>101</v>
      </c>
      <c r="B58" s="21" t="s">
        <v>89</v>
      </c>
      <c r="C58" s="21" t="s">
        <v>94</v>
      </c>
      <c r="D58" s="21" t="s">
        <v>87</v>
      </c>
      <c r="E58" s="22" t="n">
        <v>46228</v>
      </c>
      <c r="F58" s="23"/>
      <c r="G58" s="17" t="str">
        <f aca="false">IF(F58&lt;&gt;"","Yapıldı",IF(E58&lt;Ayarlar!$B$3,"Gecikti",IF(E58-Ayarlar!$B$3&lt;=Ayarlar!$B$15,"Yaklaşıyor","Planlandı")))</f>
        <v>Gecikti</v>
      </c>
      <c r="H58" s="17" t="str">
        <f aca="false">IF(B58=D58,"Kendi mağazası!",IF(INDEX(Magazalar!$C:$C,MATCH(D58,Magazalar!$A:$A,0))&lt;&gt;C58,"Uzmanlık dışı",IF(INDEX(Magazalar!$B:$B,MATCH(D58,Magazalar!$A:$A,0))&lt;&gt;INDEX(Magazalar!$B:$B,MATCH(B58,Magazalar!$A:$A,0)),"Uygun (grup dışı)","Uygun")))</f>
        <v>Uygun</v>
      </c>
    </row>
    <row r="59" customFormat="false" ht="15" hidden="false" customHeight="false" outlineLevel="0" collapsed="false">
      <c r="A59" s="21" t="s">
        <v>101</v>
      </c>
      <c r="B59" s="21" t="s">
        <v>93</v>
      </c>
      <c r="C59" s="21" t="s">
        <v>88</v>
      </c>
      <c r="D59" s="21" t="s">
        <v>89</v>
      </c>
      <c r="E59" s="22" t="n">
        <v>46242</v>
      </c>
      <c r="F59" s="23" t="n">
        <v>46243</v>
      </c>
      <c r="G59" s="17" t="str">
        <f aca="false">IF(F59&lt;&gt;"","Yapıldı",IF(E59&lt;Ayarlar!$B$3,"Gecikti",IF(E59-Ayarlar!$B$3&lt;=Ayarlar!$B$15,"Yaklaşıyor","Planlandı")))</f>
        <v>Yapıldı</v>
      </c>
      <c r="H59" s="17" t="str">
        <f aca="false">IF(B59=D59,"Kendi mağazası!",IF(INDEX(Magazalar!$C:$C,MATCH(D59,Magazalar!$A:$A,0))&lt;&gt;C59,"Uzmanlık dışı",IF(INDEX(Magazalar!$B:$B,MATCH(D59,Magazalar!$A:$A,0))&lt;&gt;INDEX(Magazalar!$B:$B,MATCH(B59,Magazalar!$A:$A,0)),"Uygun (grup dışı)","Uygun")))</f>
        <v>Uygun</v>
      </c>
    </row>
    <row r="60" customFormat="false" ht="15" hidden="false" customHeight="false" outlineLevel="0" collapsed="false">
      <c r="A60" s="21" t="s">
        <v>101</v>
      </c>
      <c r="B60" s="21" t="s">
        <v>93</v>
      </c>
      <c r="C60" s="21" t="s">
        <v>92</v>
      </c>
      <c r="D60" s="21" t="s">
        <v>97</v>
      </c>
      <c r="E60" s="22" t="n">
        <v>46254</v>
      </c>
      <c r="F60" s="23" t="n">
        <v>46257</v>
      </c>
      <c r="G60" s="17" t="str">
        <f aca="false">IF(F60&lt;&gt;"","Yapıldı",IF(E60&lt;Ayarlar!$B$3,"Gecikti",IF(E60-Ayarlar!$B$3&lt;=Ayarlar!$B$15,"Yaklaşıyor","Planlandı")))</f>
        <v>Yapıldı</v>
      </c>
      <c r="H60" s="17" t="str">
        <f aca="false">IF(B60=D60,"Kendi mağazası!",IF(INDEX(Magazalar!$C:$C,MATCH(D60,Magazalar!$A:$A,0))&lt;&gt;C60,"Uzmanlık dışı",IF(INDEX(Magazalar!$B:$B,MATCH(D60,Magazalar!$A:$A,0))&lt;&gt;INDEX(Magazalar!$B:$B,MATCH(B60,Magazalar!$A:$A,0)),"Uygun (grup dışı)","Uygun")))</f>
        <v>Uygun (grup dışı)</v>
      </c>
    </row>
    <row r="61" customFormat="false" ht="15" hidden="false" customHeight="false" outlineLevel="0" collapsed="false">
      <c r="A61" s="21" t="s">
        <v>101</v>
      </c>
      <c r="B61" s="21" t="s">
        <v>93</v>
      </c>
      <c r="C61" s="21" t="s">
        <v>94</v>
      </c>
      <c r="D61" s="21" t="s">
        <v>87</v>
      </c>
      <c r="E61" s="22" t="n">
        <v>46226</v>
      </c>
      <c r="F61" s="23" t="n">
        <v>46229</v>
      </c>
      <c r="G61" s="17" t="str">
        <f aca="false">IF(F61&lt;&gt;"","Yapıldı",IF(E61&lt;Ayarlar!$B$3,"Gecikti",IF(E61-Ayarlar!$B$3&lt;=Ayarlar!$B$15,"Yaklaşıyor","Planlandı")))</f>
        <v>Yapıldı</v>
      </c>
      <c r="H61" s="17" t="str">
        <f aca="false">IF(B61=D61,"Kendi mağazası!",IF(INDEX(Magazalar!$C:$C,MATCH(D61,Magazalar!$A:$A,0))&lt;&gt;C61,"Uzmanlık dışı",IF(INDEX(Magazalar!$B:$B,MATCH(D61,Magazalar!$A:$A,0))&lt;&gt;INDEX(Magazalar!$B:$B,MATCH(B61,Magazalar!$A:$A,0)),"Uygun (grup dışı)","Uygun")))</f>
        <v>Uygun</v>
      </c>
    </row>
    <row r="62" customFormat="false" ht="15" hidden="false" customHeight="false" outlineLevel="0" collapsed="false">
      <c r="A62" s="21" t="s">
        <v>101</v>
      </c>
      <c r="B62" s="21" t="s">
        <v>95</v>
      </c>
      <c r="C62" s="21" t="s">
        <v>88</v>
      </c>
      <c r="D62" s="21" t="s">
        <v>98</v>
      </c>
      <c r="E62" s="22" t="n">
        <v>46244</v>
      </c>
      <c r="F62" s="23"/>
      <c r="G62" s="17" t="str">
        <f aca="false">IF(F62&lt;&gt;"","Yapıldı",IF(E62&lt;Ayarlar!$B$3,"Gecikti",IF(E62-Ayarlar!$B$3&lt;=Ayarlar!$B$15,"Yaklaşıyor","Planlandı")))</f>
        <v>Gecikti</v>
      </c>
      <c r="H62" s="17" t="str">
        <f aca="false">IF(B62=D62,"Kendi mağazası!",IF(INDEX(Magazalar!$C:$C,MATCH(D62,Magazalar!$A:$A,0))&lt;&gt;C62,"Uzmanlık dışı",IF(INDEX(Magazalar!$B:$B,MATCH(D62,Magazalar!$A:$A,0))&lt;&gt;INDEX(Magazalar!$B:$B,MATCH(B62,Magazalar!$A:$A,0)),"Uygun (grup dışı)","Uygun")))</f>
        <v>Uygun</v>
      </c>
    </row>
    <row r="63" customFormat="false" ht="15" hidden="false" customHeight="false" outlineLevel="0" collapsed="false">
      <c r="A63" s="21" t="s">
        <v>101</v>
      </c>
      <c r="B63" s="21" t="s">
        <v>95</v>
      </c>
      <c r="C63" s="21" t="s">
        <v>92</v>
      </c>
      <c r="D63" s="21" t="s">
        <v>97</v>
      </c>
      <c r="E63" s="22" t="n">
        <v>46222</v>
      </c>
      <c r="F63" s="23" t="n">
        <v>46223</v>
      </c>
      <c r="G63" s="17" t="str">
        <f aca="false">IF(F63&lt;&gt;"","Yapıldı",IF(E63&lt;Ayarlar!$B$3,"Gecikti",IF(E63-Ayarlar!$B$3&lt;=Ayarlar!$B$15,"Yaklaşıyor","Planlandı")))</f>
        <v>Yapıldı</v>
      </c>
      <c r="H63" s="17" t="str">
        <f aca="false">IF(B63=D63,"Kendi mağazası!",IF(INDEX(Magazalar!$C:$C,MATCH(D63,Magazalar!$A:$A,0))&lt;&gt;C63,"Uzmanlık dışı",IF(INDEX(Magazalar!$B:$B,MATCH(D63,Magazalar!$A:$A,0))&lt;&gt;INDEX(Magazalar!$B:$B,MATCH(B63,Magazalar!$A:$A,0)),"Uygun (grup dışı)","Uygun")))</f>
        <v>Uygun</v>
      </c>
    </row>
    <row r="64" customFormat="false" ht="15" hidden="false" customHeight="false" outlineLevel="0" collapsed="false">
      <c r="A64" s="21" t="s">
        <v>101</v>
      </c>
      <c r="B64" s="21" t="s">
        <v>95</v>
      </c>
      <c r="C64" s="21" t="s">
        <v>94</v>
      </c>
      <c r="D64" s="21" t="s">
        <v>99</v>
      </c>
      <c r="E64" s="22" t="n">
        <v>46220</v>
      </c>
      <c r="F64" s="23" t="n">
        <v>46220</v>
      </c>
      <c r="G64" s="17" t="str">
        <f aca="false">IF(F64&lt;&gt;"","Yapıldı",IF(E64&lt;Ayarlar!$B$3,"Gecikti",IF(E64-Ayarlar!$B$3&lt;=Ayarlar!$B$15,"Yaklaşıyor","Planlandı")))</f>
        <v>Yapıldı</v>
      </c>
      <c r="H64" s="17" t="str">
        <f aca="false">IF(B64=D64,"Kendi mağazası!",IF(INDEX(Magazalar!$C:$C,MATCH(D64,Magazalar!$A:$A,0))&lt;&gt;C64,"Uzmanlık dışı",IF(INDEX(Magazalar!$B:$B,MATCH(D64,Magazalar!$A:$A,0))&lt;&gt;INDEX(Magazalar!$B:$B,MATCH(B64,Magazalar!$A:$A,0)),"Uygun (grup dışı)","Uygun")))</f>
        <v>Uygun (grup dışı)</v>
      </c>
    </row>
    <row r="65" customFormat="false" ht="15" hidden="false" customHeight="false" outlineLevel="0" collapsed="false">
      <c r="A65" s="21" t="s">
        <v>101</v>
      </c>
      <c r="B65" s="21" t="s">
        <v>98</v>
      </c>
      <c r="C65" s="21" t="s">
        <v>88</v>
      </c>
      <c r="D65" s="21" t="s">
        <v>89</v>
      </c>
      <c r="E65" s="22" t="n">
        <v>46251</v>
      </c>
      <c r="F65" s="23" t="n">
        <v>46249</v>
      </c>
      <c r="G65" s="17" t="str">
        <f aca="false">IF(F65&lt;&gt;"","Yapıldı",IF(E65&lt;Ayarlar!$B$3,"Gecikti",IF(E65-Ayarlar!$B$3&lt;=Ayarlar!$B$15,"Yaklaşıyor","Planlandı")))</f>
        <v>Yapıldı</v>
      </c>
      <c r="H65" s="17" t="str">
        <f aca="false">IF(B65=D65,"Kendi mağazası!",IF(INDEX(Magazalar!$C:$C,MATCH(D65,Magazalar!$A:$A,0))&lt;&gt;C65,"Uzmanlık dışı",IF(INDEX(Magazalar!$B:$B,MATCH(D65,Magazalar!$A:$A,0))&lt;&gt;INDEX(Magazalar!$B:$B,MATCH(B65,Magazalar!$A:$A,0)),"Uygun (grup dışı)","Uygun")))</f>
        <v>Uygun (grup dışı)</v>
      </c>
    </row>
    <row r="66" customFormat="false" ht="15" hidden="false" customHeight="false" outlineLevel="0" collapsed="false">
      <c r="A66" s="21" t="s">
        <v>101</v>
      </c>
      <c r="B66" s="21" t="s">
        <v>98</v>
      </c>
      <c r="C66" s="21" t="s">
        <v>92</v>
      </c>
      <c r="D66" s="21" t="s">
        <v>97</v>
      </c>
      <c r="E66" s="22" t="n">
        <v>46250</v>
      </c>
      <c r="F66" s="23" t="n">
        <v>46253</v>
      </c>
      <c r="G66" s="17" t="str">
        <f aca="false">IF(F66&lt;&gt;"","Yapıldı",IF(E66&lt;Ayarlar!$B$3,"Gecikti",IF(E66-Ayarlar!$B$3&lt;=Ayarlar!$B$15,"Yaklaşıyor","Planlandı")))</f>
        <v>Yapıldı</v>
      </c>
      <c r="H66" s="17" t="str">
        <f aca="false">IF(B66=D66,"Kendi mağazası!",IF(INDEX(Magazalar!$C:$C,MATCH(D66,Magazalar!$A:$A,0))&lt;&gt;C66,"Uzmanlık dışı",IF(INDEX(Magazalar!$B:$B,MATCH(D66,Magazalar!$A:$A,0))&lt;&gt;INDEX(Magazalar!$B:$B,MATCH(B66,Magazalar!$A:$A,0)),"Uygun (grup dışı)","Uygun")))</f>
        <v>Uygun</v>
      </c>
    </row>
    <row r="67" customFormat="false" ht="15" hidden="false" customHeight="false" outlineLevel="0" collapsed="false">
      <c r="A67" s="21" t="s">
        <v>101</v>
      </c>
      <c r="B67" s="21" t="s">
        <v>98</v>
      </c>
      <c r="C67" s="21" t="s">
        <v>94</v>
      </c>
      <c r="D67" s="21" t="s">
        <v>95</v>
      </c>
      <c r="E67" s="22" t="n">
        <v>46256</v>
      </c>
      <c r="F67" s="23"/>
      <c r="G67" s="17" t="str">
        <f aca="false">IF(F67&lt;&gt;"","Yapıldı",IF(E67&lt;Ayarlar!$B$3,"Gecikti",IF(E67-Ayarlar!$B$3&lt;=Ayarlar!$B$15,"Yaklaşıyor","Planlandı")))</f>
        <v>Gecikti</v>
      </c>
      <c r="H67" s="17" t="str">
        <f aca="false">IF(B67=D67,"Kendi mağazası!",IF(INDEX(Magazalar!$C:$C,MATCH(D67,Magazalar!$A:$A,0))&lt;&gt;C67,"Uzmanlık dışı",IF(INDEX(Magazalar!$B:$B,MATCH(D67,Magazalar!$A:$A,0))&lt;&gt;INDEX(Magazalar!$B:$B,MATCH(B67,Magazalar!$A:$A,0)),"Uygun (grup dışı)","Uygun")))</f>
        <v>Uygun</v>
      </c>
    </row>
    <row r="68" customFormat="false" ht="15" hidden="false" customHeight="false" outlineLevel="0" collapsed="false">
      <c r="A68" s="21" t="s">
        <v>101</v>
      </c>
      <c r="B68" s="21" t="s">
        <v>97</v>
      </c>
      <c r="C68" s="21" t="s">
        <v>88</v>
      </c>
      <c r="D68" s="21" t="s">
        <v>98</v>
      </c>
      <c r="E68" s="22" t="n">
        <v>46226</v>
      </c>
      <c r="F68" s="23" t="n">
        <v>46227</v>
      </c>
      <c r="G68" s="17" t="str">
        <f aca="false">IF(F68&lt;&gt;"","Yapıldı",IF(E68&lt;Ayarlar!$B$3,"Gecikti",IF(E68-Ayarlar!$B$3&lt;=Ayarlar!$B$15,"Yaklaşıyor","Planlandı")))</f>
        <v>Yapıldı</v>
      </c>
      <c r="H68" s="17" t="str">
        <f aca="false">IF(B68=D68,"Kendi mağazası!",IF(INDEX(Magazalar!$C:$C,MATCH(D68,Magazalar!$A:$A,0))&lt;&gt;C68,"Uzmanlık dışı",IF(INDEX(Magazalar!$B:$B,MATCH(D68,Magazalar!$A:$A,0))&lt;&gt;INDEX(Magazalar!$B:$B,MATCH(B68,Magazalar!$A:$A,0)),"Uygun (grup dışı)","Uygun")))</f>
        <v>Uygun</v>
      </c>
    </row>
    <row r="69" customFormat="false" ht="15" hidden="false" customHeight="false" outlineLevel="0" collapsed="false">
      <c r="A69" s="21" t="s">
        <v>101</v>
      </c>
      <c r="B69" s="21" t="s">
        <v>97</v>
      </c>
      <c r="C69" s="21" t="s">
        <v>92</v>
      </c>
      <c r="D69" s="21" t="s">
        <v>93</v>
      </c>
      <c r="E69" s="22" t="n">
        <v>46254</v>
      </c>
      <c r="F69" s="23" t="n">
        <v>46254</v>
      </c>
      <c r="G69" s="17" t="str">
        <f aca="false">IF(F69&lt;&gt;"","Yapıldı",IF(E69&lt;Ayarlar!$B$3,"Gecikti",IF(E69-Ayarlar!$B$3&lt;=Ayarlar!$B$15,"Yaklaşıyor","Planlandı")))</f>
        <v>Yapıldı</v>
      </c>
      <c r="H69" s="17" t="str">
        <f aca="false">IF(B69=D69,"Kendi mağazası!",IF(INDEX(Magazalar!$C:$C,MATCH(D69,Magazalar!$A:$A,0))&lt;&gt;C69,"Uzmanlık dışı",IF(INDEX(Magazalar!$B:$B,MATCH(D69,Magazalar!$A:$A,0))&lt;&gt;INDEX(Magazalar!$B:$B,MATCH(B69,Magazalar!$A:$A,0)),"Uygun (grup dışı)","Uygun")))</f>
        <v>Uygun (grup dışı)</v>
      </c>
    </row>
    <row r="70" customFormat="false" ht="15" hidden="false" customHeight="false" outlineLevel="0" collapsed="false">
      <c r="A70" s="21" t="s">
        <v>101</v>
      </c>
      <c r="B70" s="21" t="s">
        <v>97</v>
      </c>
      <c r="C70" s="21" t="s">
        <v>94</v>
      </c>
      <c r="D70" s="21" t="s">
        <v>95</v>
      </c>
      <c r="E70" s="22" t="n">
        <v>46240</v>
      </c>
      <c r="F70" s="23" t="n">
        <v>46241</v>
      </c>
      <c r="G70" s="17" t="str">
        <f aca="false">IF(F70&lt;&gt;"","Yapıldı",IF(E70&lt;Ayarlar!$B$3,"Gecikti",IF(E70-Ayarlar!$B$3&lt;=Ayarlar!$B$15,"Yaklaşıyor","Planlandı")))</f>
        <v>Yapıldı</v>
      </c>
      <c r="H70" s="17" t="str">
        <f aca="false">IF(B70=D70,"Kendi mağazası!",IF(INDEX(Magazalar!$C:$C,MATCH(D70,Magazalar!$A:$A,0))&lt;&gt;C70,"Uzmanlık dışı",IF(INDEX(Magazalar!$B:$B,MATCH(D70,Magazalar!$A:$A,0))&lt;&gt;INDEX(Magazalar!$B:$B,MATCH(B70,Magazalar!$A:$A,0)),"Uygun (grup dışı)","Uygun")))</f>
        <v>Uygun</v>
      </c>
    </row>
    <row r="71" customFormat="false" ht="15" hidden="false" customHeight="false" outlineLevel="0" collapsed="false">
      <c r="A71" s="21" t="s">
        <v>101</v>
      </c>
      <c r="B71" s="21" t="s">
        <v>96</v>
      </c>
      <c r="C71" s="21" t="s">
        <v>88</v>
      </c>
      <c r="D71" s="21" t="s">
        <v>89</v>
      </c>
      <c r="E71" s="22" t="n">
        <v>46218</v>
      </c>
      <c r="F71" s="23"/>
      <c r="G71" s="17" t="str">
        <f aca="false">IF(F71&lt;&gt;"","Yapıldı",IF(E71&lt;Ayarlar!$B$3,"Gecikti",IF(E71-Ayarlar!$B$3&lt;=Ayarlar!$B$15,"Yaklaşıyor","Planlandı")))</f>
        <v>Gecikti</v>
      </c>
      <c r="H71" s="17" t="str">
        <f aca="false">IF(B71=D71,"Kendi mağazası!",IF(INDEX(Magazalar!$C:$C,MATCH(D71,Magazalar!$A:$A,0))&lt;&gt;C71,"Uzmanlık dışı",IF(INDEX(Magazalar!$B:$B,MATCH(D71,Magazalar!$A:$A,0))&lt;&gt;INDEX(Magazalar!$B:$B,MATCH(B71,Magazalar!$A:$A,0)),"Uygun (grup dışı)","Uygun")))</f>
        <v>Uygun (grup dışı)</v>
      </c>
    </row>
    <row r="72" customFormat="false" ht="15" hidden="false" customHeight="false" outlineLevel="0" collapsed="false">
      <c r="A72" s="21" t="s">
        <v>101</v>
      </c>
      <c r="B72" s="21" t="s">
        <v>96</v>
      </c>
      <c r="C72" s="21" t="s">
        <v>92</v>
      </c>
      <c r="D72" s="21" t="s">
        <v>93</v>
      </c>
      <c r="E72" s="22" t="n">
        <v>46257</v>
      </c>
      <c r="F72" s="23" t="n">
        <v>46257</v>
      </c>
      <c r="G72" s="17" t="str">
        <f aca="false">IF(F72&lt;&gt;"","Yapıldı",IF(E72&lt;Ayarlar!$B$3,"Gecikti",IF(E72-Ayarlar!$B$3&lt;=Ayarlar!$B$15,"Yaklaşıyor","Planlandı")))</f>
        <v>Yapıldı</v>
      </c>
      <c r="H72" s="17" t="str">
        <f aca="false">IF(B72=D72,"Kendi mağazası!",IF(INDEX(Magazalar!$C:$C,MATCH(D72,Magazalar!$A:$A,0))&lt;&gt;C72,"Uzmanlık dışı",IF(INDEX(Magazalar!$B:$B,MATCH(D72,Magazalar!$A:$A,0))&lt;&gt;INDEX(Magazalar!$B:$B,MATCH(B72,Magazalar!$A:$A,0)),"Uygun (grup dışı)","Uygun")))</f>
        <v>Uygun (grup dışı)</v>
      </c>
    </row>
    <row r="73" customFormat="false" ht="15" hidden="false" customHeight="false" outlineLevel="0" collapsed="false">
      <c r="A73" s="21" t="s">
        <v>101</v>
      </c>
      <c r="B73" s="21" t="s">
        <v>96</v>
      </c>
      <c r="C73" s="21" t="s">
        <v>94</v>
      </c>
      <c r="D73" s="21" t="s">
        <v>99</v>
      </c>
      <c r="E73" s="22" t="n">
        <v>46255</v>
      </c>
      <c r="F73" s="23"/>
      <c r="G73" s="17" t="str">
        <f aca="false">IF(F73&lt;&gt;"","Yapıldı",IF(E73&lt;Ayarlar!$B$3,"Gecikti",IF(E73-Ayarlar!$B$3&lt;=Ayarlar!$B$15,"Yaklaşıyor","Planlandı")))</f>
        <v>Gecikti</v>
      </c>
      <c r="H73" s="17" t="str">
        <f aca="false">IF(B73=D73,"Kendi mağazası!",IF(INDEX(Magazalar!$C:$C,MATCH(D73,Magazalar!$A:$A,0))&lt;&gt;C73,"Uzmanlık dışı",IF(INDEX(Magazalar!$B:$B,MATCH(D73,Magazalar!$A:$A,0))&lt;&gt;INDEX(Magazalar!$B:$B,MATCH(B73,Magazalar!$A:$A,0)),"Uygun (grup dışı)","Uygun")))</f>
        <v>Uygun</v>
      </c>
    </row>
    <row r="74" customFormat="false" ht="15" hidden="false" customHeight="false" outlineLevel="0" collapsed="false">
      <c r="A74" s="21" t="s">
        <v>101</v>
      </c>
      <c r="B74" s="21" t="s">
        <v>99</v>
      </c>
      <c r="C74" s="21" t="s">
        <v>88</v>
      </c>
      <c r="D74" s="21" t="s">
        <v>96</v>
      </c>
      <c r="E74" s="22" t="n">
        <v>46245</v>
      </c>
      <c r="F74" s="23"/>
      <c r="G74" s="17" t="str">
        <f aca="false">IF(F74&lt;&gt;"","Yapıldı",IF(E74&lt;Ayarlar!$B$3,"Gecikti",IF(E74-Ayarlar!$B$3&lt;=Ayarlar!$B$15,"Yaklaşıyor","Planlandı")))</f>
        <v>Gecikti</v>
      </c>
      <c r="H74" s="17" t="str">
        <f aca="false">IF(B74=D74,"Kendi mağazası!",IF(INDEX(Magazalar!$C:$C,MATCH(D74,Magazalar!$A:$A,0))&lt;&gt;C74,"Uzmanlık dışı",IF(INDEX(Magazalar!$B:$B,MATCH(D74,Magazalar!$A:$A,0))&lt;&gt;INDEX(Magazalar!$B:$B,MATCH(B74,Magazalar!$A:$A,0)),"Uygun (grup dışı)","Uygun")))</f>
        <v>Uygun</v>
      </c>
    </row>
    <row r="75" customFormat="false" ht="15" hidden="false" customHeight="false" outlineLevel="0" collapsed="false">
      <c r="A75" s="21" t="s">
        <v>101</v>
      </c>
      <c r="B75" s="21" t="s">
        <v>99</v>
      </c>
      <c r="C75" s="21" t="s">
        <v>92</v>
      </c>
      <c r="D75" s="21" t="s">
        <v>97</v>
      </c>
      <c r="E75" s="22" t="n">
        <v>46230</v>
      </c>
      <c r="F75" s="23"/>
      <c r="G75" s="17" t="str">
        <f aca="false">IF(F75&lt;&gt;"","Yapıldı",IF(E75&lt;Ayarlar!$B$3,"Gecikti",IF(E75-Ayarlar!$B$3&lt;=Ayarlar!$B$15,"Yaklaşıyor","Planlandı")))</f>
        <v>Gecikti</v>
      </c>
      <c r="H75" s="17" t="str">
        <f aca="false">IF(B75=D75,"Kendi mağazası!",IF(INDEX(Magazalar!$C:$C,MATCH(D75,Magazalar!$A:$A,0))&lt;&gt;C75,"Uzmanlık dışı",IF(INDEX(Magazalar!$B:$B,MATCH(D75,Magazalar!$A:$A,0))&lt;&gt;INDEX(Magazalar!$B:$B,MATCH(B75,Magazalar!$A:$A,0)),"Uygun (grup dışı)","Uygun")))</f>
        <v>Uygun (grup dışı)</v>
      </c>
    </row>
    <row r="76" customFormat="false" ht="15" hidden="false" customHeight="false" outlineLevel="0" collapsed="false">
      <c r="A76" s="21" t="s">
        <v>101</v>
      </c>
      <c r="B76" s="21" t="s">
        <v>99</v>
      </c>
      <c r="C76" s="21" t="s">
        <v>94</v>
      </c>
      <c r="D76" s="21" t="s">
        <v>95</v>
      </c>
      <c r="E76" s="22" t="n">
        <v>46248</v>
      </c>
      <c r="F76" s="23" t="n">
        <v>46248</v>
      </c>
      <c r="G76" s="17" t="str">
        <f aca="false">IF(F76&lt;&gt;"","Yapıldı",IF(E76&lt;Ayarlar!$B$3,"Gecikti",IF(E76-Ayarlar!$B$3&lt;=Ayarlar!$B$15,"Yaklaşıyor","Planlandı")))</f>
        <v>Yapıldı</v>
      </c>
      <c r="H76" s="17" t="str">
        <f aca="false">IF(B76=D76,"Kendi mağazası!",IF(INDEX(Magazalar!$C:$C,MATCH(D76,Magazalar!$A:$A,0))&lt;&gt;C76,"Uzmanlık dışı",IF(INDEX(Magazalar!$B:$B,MATCH(D76,Magazalar!$A:$A,0))&lt;&gt;INDEX(Magazalar!$B:$B,MATCH(B76,Magazalar!$A:$A,0)),"Uygun (grup dışı)","Uygun")))</f>
        <v>Uygun (grup dışı)</v>
      </c>
    </row>
    <row r="77" customFormat="false" ht="15" hidden="false" customHeight="false" outlineLevel="0" collapsed="false">
      <c r="A77" s="21" t="s">
        <v>102</v>
      </c>
      <c r="B77" s="21" t="s">
        <v>87</v>
      </c>
      <c r="C77" s="21" t="s">
        <v>88</v>
      </c>
      <c r="D77" s="21" t="s">
        <v>89</v>
      </c>
      <c r="E77" s="22" t="n">
        <v>46291</v>
      </c>
      <c r="F77" s="23"/>
      <c r="G77" s="17" t="str">
        <f aca="false">IF(F77&lt;&gt;"","Yapıldı",IF(E77&lt;Ayarlar!$B$3,"Gecikti",IF(E77-Ayarlar!$B$3&lt;=Ayarlar!$B$15,"Yaklaşıyor","Planlandı")))</f>
        <v>Yaklaşıyor</v>
      </c>
      <c r="H77" s="17" t="str">
        <f aca="false">IF(B77=D77,"Kendi mağazası!",IF(INDEX(Magazalar!$C:$C,MATCH(D77,Magazalar!$A:$A,0))&lt;&gt;C77,"Uzmanlık dışı",IF(INDEX(Magazalar!$B:$B,MATCH(D77,Magazalar!$A:$A,0))&lt;&gt;INDEX(Magazalar!$B:$B,MATCH(B77,Magazalar!$A:$A,0)),"Uygun (grup dışı)","Uygun")))</f>
        <v>Uygun</v>
      </c>
    </row>
    <row r="78" customFormat="false" ht="15" hidden="false" customHeight="false" outlineLevel="0" collapsed="false">
      <c r="A78" s="21" t="s">
        <v>102</v>
      </c>
      <c r="B78" s="21" t="s">
        <v>87</v>
      </c>
      <c r="C78" s="21" t="s">
        <v>92</v>
      </c>
      <c r="D78" s="21" t="s">
        <v>93</v>
      </c>
      <c r="E78" s="22" t="n">
        <v>46322</v>
      </c>
      <c r="F78" s="23"/>
      <c r="G78" s="17" t="str">
        <f aca="false">IF(F78&lt;&gt;"","Yapıldı",IF(E78&lt;Ayarlar!$B$3,"Gecikti",IF(E78-Ayarlar!$B$3&lt;=Ayarlar!$B$15,"Yaklaşıyor","Planlandı")))</f>
        <v>Planlandı</v>
      </c>
      <c r="H78" s="17" t="str">
        <f aca="false">IF(B78=D78,"Kendi mağazası!",IF(INDEX(Magazalar!$C:$C,MATCH(D78,Magazalar!$A:$A,0))&lt;&gt;C78,"Uzmanlık dışı",IF(INDEX(Magazalar!$B:$B,MATCH(D78,Magazalar!$A:$A,0))&lt;&gt;INDEX(Magazalar!$B:$B,MATCH(B78,Magazalar!$A:$A,0)),"Uygun (grup dışı)","Uygun")))</f>
        <v>Uygun</v>
      </c>
    </row>
    <row r="79" customFormat="false" ht="15" hidden="false" customHeight="false" outlineLevel="0" collapsed="false">
      <c r="A79" s="21" t="s">
        <v>102</v>
      </c>
      <c r="B79" s="21" t="s">
        <v>87</v>
      </c>
      <c r="C79" s="21" t="s">
        <v>94</v>
      </c>
      <c r="D79" s="21" t="s">
        <v>99</v>
      </c>
      <c r="E79" s="22" t="n">
        <v>46313</v>
      </c>
      <c r="F79" s="23"/>
      <c r="G79" s="17" t="str">
        <f aca="false">IF(F79&lt;&gt;"","Yapıldı",IF(E79&lt;Ayarlar!$B$3,"Gecikti",IF(E79-Ayarlar!$B$3&lt;=Ayarlar!$B$15,"Yaklaşıyor","Planlandı")))</f>
        <v>Planlandı</v>
      </c>
      <c r="H79" s="17" t="str">
        <f aca="false">IF(B79=D79,"Kendi mağazası!",IF(INDEX(Magazalar!$C:$C,MATCH(D79,Magazalar!$A:$A,0))&lt;&gt;C79,"Uzmanlık dışı",IF(INDEX(Magazalar!$B:$B,MATCH(D79,Magazalar!$A:$A,0))&lt;&gt;INDEX(Magazalar!$B:$B,MATCH(B79,Magazalar!$A:$A,0)),"Uygun (grup dışı)","Uygun")))</f>
        <v>Uygun (grup dışı)</v>
      </c>
    </row>
    <row r="80" customFormat="false" ht="15" hidden="false" customHeight="false" outlineLevel="0" collapsed="false">
      <c r="A80" s="21" t="s">
        <v>102</v>
      </c>
      <c r="B80" s="21" t="s">
        <v>89</v>
      </c>
      <c r="C80" s="21" t="s">
        <v>88</v>
      </c>
      <c r="D80" s="21" t="s">
        <v>98</v>
      </c>
      <c r="E80" s="22" t="n">
        <v>46326</v>
      </c>
      <c r="F80" s="23"/>
      <c r="G80" s="17" t="str">
        <f aca="false">IF(F80&lt;&gt;"","Yapıldı",IF(E80&lt;Ayarlar!$B$3,"Gecikti",IF(E80-Ayarlar!$B$3&lt;=Ayarlar!$B$15,"Yaklaşıyor","Planlandı")))</f>
        <v>Planlandı</v>
      </c>
      <c r="H80" s="17" t="str">
        <f aca="false">IF(B80=D80,"Kendi mağazası!",IF(INDEX(Magazalar!$C:$C,MATCH(D80,Magazalar!$A:$A,0))&lt;&gt;C80,"Uzmanlık dışı",IF(INDEX(Magazalar!$B:$B,MATCH(D80,Magazalar!$A:$A,0))&lt;&gt;INDEX(Magazalar!$B:$B,MATCH(B80,Magazalar!$A:$A,0)),"Uygun (grup dışı)","Uygun")))</f>
        <v>Uygun (grup dışı)</v>
      </c>
    </row>
    <row r="81" customFormat="false" ht="15" hidden="false" customHeight="false" outlineLevel="0" collapsed="false">
      <c r="A81" s="21" t="s">
        <v>102</v>
      </c>
      <c r="B81" s="21" t="s">
        <v>89</v>
      </c>
      <c r="C81" s="21" t="s">
        <v>92</v>
      </c>
      <c r="D81" s="21" t="s">
        <v>93</v>
      </c>
      <c r="E81" s="22" t="n">
        <v>46293</v>
      </c>
      <c r="F81" s="23"/>
      <c r="G81" s="17" t="str">
        <f aca="false">IF(F81&lt;&gt;"","Yapıldı",IF(E81&lt;Ayarlar!$B$3,"Gecikti",IF(E81-Ayarlar!$B$3&lt;=Ayarlar!$B$15,"Yaklaşıyor","Planlandı")))</f>
        <v>Yaklaşıyor</v>
      </c>
      <c r="H81" s="17" t="str">
        <f aca="false">IF(B81=D81,"Kendi mağazası!",IF(INDEX(Magazalar!$C:$C,MATCH(D81,Magazalar!$A:$A,0))&lt;&gt;C81,"Uzmanlık dışı",IF(INDEX(Magazalar!$B:$B,MATCH(D81,Magazalar!$A:$A,0))&lt;&gt;INDEX(Magazalar!$B:$B,MATCH(B81,Magazalar!$A:$A,0)),"Uygun (grup dışı)","Uygun")))</f>
        <v>Uygun</v>
      </c>
    </row>
    <row r="82" customFormat="false" ht="15" hidden="false" customHeight="false" outlineLevel="0" collapsed="false">
      <c r="A82" s="21" t="s">
        <v>102</v>
      </c>
      <c r="B82" s="21" t="s">
        <v>89</v>
      </c>
      <c r="C82" s="21" t="s">
        <v>94</v>
      </c>
      <c r="D82" s="21" t="s">
        <v>87</v>
      </c>
      <c r="E82" s="22" t="n">
        <v>46313</v>
      </c>
      <c r="F82" s="23"/>
      <c r="G82" s="17" t="str">
        <f aca="false">IF(F82&lt;&gt;"","Yapıldı",IF(E82&lt;Ayarlar!$B$3,"Gecikti",IF(E82-Ayarlar!$B$3&lt;=Ayarlar!$B$15,"Yaklaşıyor","Planlandı")))</f>
        <v>Planlandı</v>
      </c>
      <c r="H82" s="17" t="str">
        <f aca="false">IF(B82=D82,"Kendi mağazası!",IF(INDEX(Magazalar!$C:$C,MATCH(D82,Magazalar!$A:$A,0))&lt;&gt;C82,"Uzmanlık dışı",IF(INDEX(Magazalar!$B:$B,MATCH(D82,Magazalar!$A:$A,0))&lt;&gt;INDEX(Magazalar!$B:$B,MATCH(B82,Magazalar!$A:$A,0)),"Uygun (grup dışı)","Uygun")))</f>
        <v>Uygun</v>
      </c>
    </row>
    <row r="83" customFormat="false" ht="15" hidden="false" customHeight="false" outlineLevel="0" collapsed="false">
      <c r="A83" s="21" t="s">
        <v>102</v>
      </c>
      <c r="B83" s="21" t="s">
        <v>93</v>
      </c>
      <c r="C83" s="21" t="s">
        <v>88</v>
      </c>
      <c r="D83" s="21" t="s">
        <v>89</v>
      </c>
      <c r="E83" s="22" t="n">
        <v>46317</v>
      </c>
      <c r="F83" s="23"/>
      <c r="G83" s="17" t="str">
        <f aca="false">IF(F83&lt;&gt;"","Yapıldı",IF(E83&lt;Ayarlar!$B$3,"Gecikti",IF(E83-Ayarlar!$B$3&lt;=Ayarlar!$B$15,"Yaklaşıyor","Planlandı")))</f>
        <v>Planlandı</v>
      </c>
      <c r="H83" s="17" t="str">
        <f aca="false">IF(B83=D83,"Kendi mağazası!",IF(INDEX(Magazalar!$C:$C,MATCH(D83,Magazalar!$A:$A,0))&lt;&gt;C83,"Uzmanlık dışı",IF(INDEX(Magazalar!$B:$B,MATCH(D83,Magazalar!$A:$A,0))&lt;&gt;INDEX(Magazalar!$B:$B,MATCH(B83,Magazalar!$A:$A,0)),"Uygun (grup dışı)","Uygun")))</f>
        <v>Uygun</v>
      </c>
    </row>
    <row r="84" customFormat="false" ht="15" hidden="false" customHeight="false" outlineLevel="0" collapsed="false">
      <c r="A84" s="21" t="s">
        <v>102</v>
      </c>
      <c r="B84" s="21" t="s">
        <v>93</v>
      </c>
      <c r="C84" s="21" t="s">
        <v>92</v>
      </c>
      <c r="D84" s="21" t="s">
        <v>97</v>
      </c>
      <c r="E84" s="22" t="n">
        <v>46290</v>
      </c>
      <c r="F84" s="23"/>
      <c r="G84" s="17" t="str">
        <f aca="false">IF(F84&lt;&gt;"","Yapıldı",IF(E84&lt;Ayarlar!$B$3,"Gecikti",IF(E84-Ayarlar!$B$3&lt;=Ayarlar!$B$15,"Yaklaşıyor","Planlandı")))</f>
        <v>Yaklaşıyor</v>
      </c>
      <c r="H84" s="17" t="str">
        <f aca="false">IF(B84=D84,"Kendi mağazası!",IF(INDEX(Magazalar!$C:$C,MATCH(D84,Magazalar!$A:$A,0))&lt;&gt;C84,"Uzmanlık dışı",IF(INDEX(Magazalar!$B:$B,MATCH(D84,Magazalar!$A:$A,0))&lt;&gt;INDEX(Magazalar!$B:$B,MATCH(B84,Magazalar!$A:$A,0)),"Uygun (grup dışı)","Uygun")))</f>
        <v>Uygun (grup dışı)</v>
      </c>
    </row>
    <row r="85" customFormat="false" ht="15" hidden="false" customHeight="false" outlineLevel="0" collapsed="false">
      <c r="A85" s="21" t="s">
        <v>102</v>
      </c>
      <c r="B85" s="21" t="s">
        <v>93</v>
      </c>
      <c r="C85" s="21" t="s">
        <v>94</v>
      </c>
      <c r="D85" s="21" t="s">
        <v>87</v>
      </c>
      <c r="E85" s="22" t="n">
        <v>46330</v>
      </c>
      <c r="F85" s="23"/>
      <c r="G85" s="17" t="str">
        <f aca="false">IF(F85&lt;&gt;"","Yapıldı",IF(E85&lt;Ayarlar!$B$3,"Gecikti",IF(E85-Ayarlar!$B$3&lt;=Ayarlar!$B$15,"Yaklaşıyor","Planlandı")))</f>
        <v>Planlandı</v>
      </c>
      <c r="H85" s="17" t="str">
        <f aca="false">IF(B85=D85,"Kendi mağazası!",IF(INDEX(Magazalar!$C:$C,MATCH(D85,Magazalar!$A:$A,0))&lt;&gt;C85,"Uzmanlık dışı",IF(INDEX(Magazalar!$B:$B,MATCH(D85,Magazalar!$A:$A,0))&lt;&gt;INDEX(Magazalar!$B:$B,MATCH(B85,Magazalar!$A:$A,0)),"Uygun (grup dışı)","Uygun")))</f>
        <v>Uygun</v>
      </c>
    </row>
    <row r="86" customFormat="false" ht="15" hidden="false" customHeight="false" outlineLevel="0" collapsed="false">
      <c r="A86" s="21" t="s">
        <v>102</v>
      </c>
      <c r="B86" s="21" t="s">
        <v>95</v>
      </c>
      <c r="C86" s="21" t="s">
        <v>88</v>
      </c>
      <c r="D86" s="21" t="s">
        <v>98</v>
      </c>
      <c r="E86" s="22" t="n">
        <v>46315</v>
      </c>
      <c r="F86" s="23"/>
      <c r="G86" s="17" t="str">
        <f aca="false">IF(F86&lt;&gt;"","Yapıldı",IF(E86&lt;Ayarlar!$B$3,"Gecikti",IF(E86-Ayarlar!$B$3&lt;=Ayarlar!$B$15,"Yaklaşıyor","Planlandı")))</f>
        <v>Planlandı</v>
      </c>
      <c r="H86" s="17" t="str">
        <f aca="false">IF(B86=D86,"Kendi mağazası!",IF(INDEX(Magazalar!$C:$C,MATCH(D86,Magazalar!$A:$A,0))&lt;&gt;C86,"Uzmanlık dışı",IF(INDEX(Magazalar!$B:$B,MATCH(D86,Magazalar!$A:$A,0))&lt;&gt;INDEX(Magazalar!$B:$B,MATCH(B86,Magazalar!$A:$A,0)),"Uygun (grup dışı)","Uygun")))</f>
        <v>Uygun</v>
      </c>
    </row>
    <row r="87" customFormat="false" ht="15" hidden="false" customHeight="false" outlineLevel="0" collapsed="false">
      <c r="A87" s="21" t="s">
        <v>102</v>
      </c>
      <c r="B87" s="21" t="s">
        <v>95</v>
      </c>
      <c r="C87" s="21" t="s">
        <v>92</v>
      </c>
      <c r="D87" s="21" t="s">
        <v>97</v>
      </c>
      <c r="E87" s="22" t="n">
        <v>46321</v>
      </c>
      <c r="F87" s="23"/>
      <c r="G87" s="17" t="str">
        <f aca="false">IF(F87&lt;&gt;"","Yapıldı",IF(E87&lt;Ayarlar!$B$3,"Gecikti",IF(E87-Ayarlar!$B$3&lt;=Ayarlar!$B$15,"Yaklaşıyor","Planlandı")))</f>
        <v>Planlandı</v>
      </c>
      <c r="H87" s="17" t="str">
        <f aca="false">IF(B87=D87,"Kendi mağazası!",IF(INDEX(Magazalar!$C:$C,MATCH(D87,Magazalar!$A:$A,0))&lt;&gt;C87,"Uzmanlık dışı",IF(INDEX(Magazalar!$B:$B,MATCH(D87,Magazalar!$A:$A,0))&lt;&gt;INDEX(Magazalar!$B:$B,MATCH(B87,Magazalar!$A:$A,0)),"Uygun (grup dışı)","Uygun")))</f>
        <v>Uygun</v>
      </c>
    </row>
    <row r="88" customFormat="false" ht="15" hidden="false" customHeight="false" outlineLevel="0" collapsed="false">
      <c r="A88" s="21" t="s">
        <v>102</v>
      </c>
      <c r="B88" s="21" t="s">
        <v>95</v>
      </c>
      <c r="C88" s="21" t="s">
        <v>94</v>
      </c>
      <c r="D88" s="21" t="s">
        <v>87</v>
      </c>
      <c r="E88" s="22" t="n">
        <v>46310</v>
      </c>
      <c r="F88" s="23"/>
      <c r="G88" s="17" t="str">
        <f aca="false">IF(F88&lt;&gt;"","Yapıldı",IF(E88&lt;Ayarlar!$B$3,"Gecikti",IF(E88-Ayarlar!$B$3&lt;=Ayarlar!$B$15,"Yaklaşıyor","Planlandı")))</f>
        <v>Planlandı</v>
      </c>
      <c r="H88" s="17" t="str">
        <f aca="false">IF(B88=D88,"Kendi mağazası!",IF(INDEX(Magazalar!$C:$C,MATCH(D88,Magazalar!$A:$A,0))&lt;&gt;C88,"Uzmanlık dışı",IF(INDEX(Magazalar!$B:$B,MATCH(D88,Magazalar!$A:$A,0))&lt;&gt;INDEX(Magazalar!$B:$B,MATCH(B88,Magazalar!$A:$A,0)),"Uygun (grup dışı)","Uygun")))</f>
        <v>Uygun (grup dışı)</v>
      </c>
    </row>
    <row r="89" customFormat="false" ht="15" hidden="false" customHeight="false" outlineLevel="0" collapsed="false">
      <c r="A89" s="21" t="s">
        <v>102</v>
      </c>
      <c r="B89" s="21" t="s">
        <v>98</v>
      </c>
      <c r="C89" s="21" t="s">
        <v>88</v>
      </c>
      <c r="D89" s="21" t="s">
        <v>96</v>
      </c>
      <c r="E89" s="22" t="n">
        <v>46308</v>
      </c>
      <c r="F89" s="23"/>
      <c r="G89" s="17" t="str">
        <f aca="false">IF(F89&lt;&gt;"","Yapıldı",IF(E89&lt;Ayarlar!$B$3,"Gecikti",IF(E89-Ayarlar!$B$3&lt;=Ayarlar!$B$15,"Yaklaşıyor","Planlandı")))</f>
        <v>Yaklaşıyor</v>
      </c>
      <c r="H89" s="17" t="str">
        <f aca="false">IF(B89=D89,"Kendi mağazası!",IF(INDEX(Magazalar!$C:$C,MATCH(D89,Magazalar!$A:$A,0))&lt;&gt;C89,"Uzmanlık dışı",IF(INDEX(Magazalar!$B:$B,MATCH(D89,Magazalar!$A:$A,0))&lt;&gt;INDEX(Magazalar!$B:$B,MATCH(B89,Magazalar!$A:$A,0)),"Uygun (grup dışı)","Uygun")))</f>
        <v>Uygun (grup dışı)</v>
      </c>
    </row>
    <row r="90" customFormat="false" ht="15" hidden="false" customHeight="false" outlineLevel="0" collapsed="false">
      <c r="A90" s="21" t="s">
        <v>102</v>
      </c>
      <c r="B90" s="21" t="s">
        <v>98</v>
      </c>
      <c r="C90" s="21" t="s">
        <v>92</v>
      </c>
      <c r="D90" s="21" t="s">
        <v>97</v>
      </c>
      <c r="E90" s="22" t="n">
        <v>46314</v>
      </c>
      <c r="F90" s="23"/>
      <c r="G90" s="17" t="str">
        <f aca="false">IF(F90&lt;&gt;"","Yapıldı",IF(E90&lt;Ayarlar!$B$3,"Gecikti",IF(E90-Ayarlar!$B$3&lt;=Ayarlar!$B$15,"Yaklaşıyor","Planlandı")))</f>
        <v>Planlandı</v>
      </c>
      <c r="H90" s="17" t="str">
        <f aca="false">IF(B90=D90,"Kendi mağazası!",IF(INDEX(Magazalar!$C:$C,MATCH(D90,Magazalar!$A:$A,0))&lt;&gt;C90,"Uzmanlık dışı",IF(INDEX(Magazalar!$B:$B,MATCH(D90,Magazalar!$A:$A,0))&lt;&gt;INDEX(Magazalar!$B:$B,MATCH(B90,Magazalar!$A:$A,0)),"Uygun (grup dışı)","Uygun")))</f>
        <v>Uygun</v>
      </c>
    </row>
    <row r="91" customFormat="false" ht="15" hidden="false" customHeight="false" outlineLevel="0" collapsed="false">
      <c r="A91" s="21" t="s">
        <v>102</v>
      </c>
      <c r="B91" s="21" t="s">
        <v>98</v>
      </c>
      <c r="C91" s="21" t="s">
        <v>94</v>
      </c>
      <c r="D91" s="21" t="s">
        <v>95</v>
      </c>
      <c r="E91" s="22" t="n">
        <v>46299</v>
      </c>
      <c r="F91" s="23"/>
      <c r="G91" s="17" t="str">
        <f aca="false">IF(F91&lt;&gt;"","Yapıldı",IF(E91&lt;Ayarlar!$B$3,"Gecikti",IF(E91-Ayarlar!$B$3&lt;=Ayarlar!$B$15,"Yaklaşıyor","Planlandı")))</f>
        <v>Yaklaşıyor</v>
      </c>
      <c r="H91" s="17" t="str">
        <f aca="false">IF(B91=D91,"Kendi mağazası!",IF(INDEX(Magazalar!$C:$C,MATCH(D91,Magazalar!$A:$A,0))&lt;&gt;C91,"Uzmanlık dışı",IF(INDEX(Magazalar!$B:$B,MATCH(D91,Magazalar!$A:$A,0))&lt;&gt;INDEX(Magazalar!$B:$B,MATCH(B91,Magazalar!$A:$A,0)),"Uygun (grup dışı)","Uygun")))</f>
        <v>Uygun</v>
      </c>
    </row>
    <row r="92" customFormat="false" ht="15" hidden="false" customHeight="false" outlineLevel="0" collapsed="false">
      <c r="A92" s="21" t="s">
        <v>102</v>
      </c>
      <c r="B92" s="21" t="s">
        <v>97</v>
      </c>
      <c r="C92" s="21" t="s">
        <v>88</v>
      </c>
      <c r="D92" s="21" t="s">
        <v>98</v>
      </c>
      <c r="E92" s="22" t="n">
        <v>46288</v>
      </c>
      <c r="F92" s="23"/>
      <c r="G92" s="17" t="str">
        <f aca="false">IF(F92&lt;&gt;"","Yapıldı",IF(E92&lt;Ayarlar!$B$3,"Gecikti",IF(E92-Ayarlar!$B$3&lt;=Ayarlar!$B$15,"Yaklaşıyor","Planlandı")))</f>
        <v>Yaklaşıyor</v>
      </c>
      <c r="H92" s="17" t="str">
        <f aca="false">IF(B92=D92,"Kendi mağazası!",IF(INDEX(Magazalar!$C:$C,MATCH(D92,Magazalar!$A:$A,0))&lt;&gt;C92,"Uzmanlık dışı",IF(INDEX(Magazalar!$B:$B,MATCH(D92,Magazalar!$A:$A,0))&lt;&gt;INDEX(Magazalar!$B:$B,MATCH(B92,Magazalar!$A:$A,0)),"Uygun (grup dışı)","Uygun")))</f>
        <v>Uygun</v>
      </c>
    </row>
    <row r="93" customFormat="false" ht="15" hidden="false" customHeight="false" outlineLevel="0" collapsed="false">
      <c r="A93" s="21" t="s">
        <v>102</v>
      </c>
      <c r="B93" s="21" t="s">
        <v>97</v>
      </c>
      <c r="C93" s="21" t="s">
        <v>92</v>
      </c>
      <c r="D93" s="21" t="s">
        <v>93</v>
      </c>
      <c r="E93" s="22" t="n">
        <v>46297</v>
      </c>
      <c r="F93" s="23"/>
      <c r="G93" s="17" t="str">
        <f aca="false">IF(F93&lt;&gt;"","Yapıldı",IF(E93&lt;Ayarlar!$B$3,"Gecikti",IF(E93-Ayarlar!$B$3&lt;=Ayarlar!$B$15,"Yaklaşıyor","Planlandı")))</f>
        <v>Yaklaşıyor</v>
      </c>
      <c r="H93" s="17" t="str">
        <f aca="false">IF(B93=D93,"Kendi mağazası!",IF(INDEX(Magazalar!$C:$C,MATCH(D93,Magazalar!$A:$A,0))&lt;&gt;C93,"Uzmanlık dışı",IF(INDEX(Magazalar!$B:$B,MATCH(D93,Magazalar!$A:$A,0))&lt;&gt;INDEX(Magazalar!$B:$B,MATCH(B93,Magazalar!$A:$A,0)),"Uygun (grup dışı)","Uygun")))</f>
        <v>Uygun (grup dışı)</v>
      </c>
    </row>
    <row r="94" customFormat="false" ht="15" hidden="false" customHeight="false" outlineLevel="0" collapsed="false">
      <c r="A94" s="21" t="s">
        <v>102</v>
      </c>
      <c r="B94" s="21" t="s">
        <v>97</v>
      </c>
      <c r="C94" s="21" t="s">
        <v>94</v>
      </c>
      <c r="D94" s="21" t="s">
        <v>95</v>
      </c>
      <c r="E94" s="22" t="n">
        <v>46288</v>
      </c>
      <c r="F94" s="23"/>
      <c r="G94" s="17" t="str">
        <f aca="false">IF(F94&lt;&gt;"","Yapıldı",IF(E94&lt;Ayarlar!$B$3,"Gecikti",IF(E94-Ayarlar!$B$3&lt;=Ayarlar!$B$15,"Yaklaşıyor","Planlandı")))</f>
        <v>Yaklaşıyor</v>
      </c>
      <c r="H94" s="17" t="str">
        <f aca="false">IF(B94=D94,"Kendi mağazası!",IF(INDEX(Magazalar!$C:$C,MATCH(D94,Magazalar!$A:$A,0))&lt;&gt;C94,"Uzmanlık dışı",IF(INDEX(Magazalar!$B:$B,MATCH(D94,Magazalar!$A:$A,0))&lt;&gt;INDEX(Magazalar!$B:$B,MATCH(B94,Magazalar!$A:$A,0)),"Uygun (grup dışı)","Uygun")))</f>
        <v>Uygun</v>
      </c>
    </row>
    <row r="95" customFormat="false" ht="15" hidden="false" customHeight="false" outlineLevel="0" collapsed="false">
      <c r="A95" s="21" t="s">
        <v>102</v>
      </c>
      <c r="B95" s="21" t="s">
        <v>96</v>
      </c>
      <c r="C95" s="21" t="s">
        <v>88</v>
      </c>
      <c r="D95" s="21" t="s">
        <v>98</v>
      </c>
      <c r="E95" s="22" t="n">
        <v>46313</v>
      </c>
      <c r="F95" s="23"/>
      <c r="G95" s="17" t="str">
        <f aca="false">IF(F95&lt;&gt;"","Yapıldı",IF(E95&lt;Ayarlar!$B$3,"Gecikti",IF(E95-Ayarlar!$B$3&lt;=Ayarlar!$B$15,"Yaklaşıyor","Planlandı")))</f>
        <v>Planlandı</v>
      </c>
      <c r="H95" s="17" t="str">
        <f aca="false">IF(B95=D95,"Kendi mağazası!",IF(INDEX(Magazalar!$C:$C,MATCH(D95,Magazalar!$A:$A,0))&lt;&gt;C95,"Uzmanlık dışı",IF(INDEX(Magazalar!$B:$B,MATCH(D95,Magazalar!$A:$A,0))&lt;&gt;INDEX(Magazalar!$B:$B,MATCH(B95,Magazalar!$A:$A,0)),"Uygun (grup dışı)","Uygun")))</f>
        <v>Uygun (grup dışı)</v>
      </c>
    </row>
    <row r="96" customFormat="false" ht="15" hidden="false" customHeight="false" outlineLevel="0" collapsed="false">
      <c r="A96" s="21" t="s">
        <v>102</v>
      </c>
      <c r="B96" s="21" t="s">
        <v>96</v>
      </c>
      <c r="C96" s="21" t="s">
        <v>92</v>
      </c>
      <c r="D96" s="21" t="s">
        <v>97</v>
      </c>
      <c r="E96" s="22" t="n">
        <v>46292</v>
      </c>
      <c r="F96" s="23"/>
      <c r="G96" s="17" t="str">
        <f aca="false">IF(F96&lt;&gt;"","Yapıldı",IF(E96&lt;Ayarlar!$B$3,"Gecikti",IF(E96-Ayarlar!$B$3&lt;=Ayarlar!$B$15,"Yaklaşıyor","Planlandı")))</f>
        <v>Yaklaşıyor</v>
      </c>
      <c r="H96" s="17" t="str">
        <f aca="false">IF(B96=D96,"Kendi mağazası!",IF(INDEX(Magazalar!$C:$C,MATCH(D96,Magazalar!$A:$A,0))&lt;&gt;C96,"Uzmanlık dışı",IF(INDEX(Magazalar!$B:$B,MATCH(D96,Magazalar!$A:$A,0))&lt;&gt;INDEX(Magazalar!$B:$B,MATCH(B96,Magazalar!$A:$A,0)),"Uygun (grup dışı)","Uygun")))</f>
        <v>Uygun (grup dışı)</v>
      </c>
    </row>
    <row r="97" customFormat="false" ht="15" hidden="false" customHeight="false" outlineLevel="0" collapsed="false">
      <c r="A97" s="21" t="s">
        <v>102</v>
      </c>
      <c r="B97" s="21" t="s">
        <v>96</v>
      </c>
      <c r="C97" s="21" t="s">
        <v>94</v>
      </c>
      <c r="D97" s="21" t="s">
        <v>99</v>
      </c>
      <c r="E97" s="22" t="n">
        <v>46291</v>
      </c>
      <c r="F97" s="23"/>
      <c r="G97" s="17" t="str">
        <f aca="false">IF(F97&lt;&gt;"","Yapıldı",IF(E97&lt;Ayarlar!$B$3,"Gecikti",IF(E97-Ayarlar!$B$3&lt;=Ayarlar!$B$15,"Yaklaşıyor","Planlandı")))</f>
        <v>Yaklaşıyor</v>
      </c>
      <c r="H97" s="17" t="str">
        <f aca="false">IF(B97=D97,"Kendi mağazası!",IF(INDEX(Magazalar!$C:$C,MATCH(D97,Magazalar!$A:$A,0))&lt;&gt;C97,"Uzmanlık dışı",IF(INDEX(Magazalar!$B:$B,MATCH(D97,Magazalar!$A:$A,0))&lt;&gt;INDEX(Magazalar!$B:$B,MATCH(B97,Magazalar!$A:$A,0)),"Uygun (grup dışı)","Uygun")))</f>
        <v>Uygun</v>
      </c>
    </row>
    <row r="98" customFormat="false" ht="15" hidden="false" customHeight="false" outlineLevel="0" collapsed="false">
      <c r="A98" s="21" t="s">
        <v>102</v>
      </c>
      <c r="B98" s="21" t="s">
        <v>99</v>
      </c>
      <c r="C98" s="21" t="s">
        <v>88</v>
      </c>
      <c r="D98" s="21" t="s">
        <v>96</v>
      </c>
      <c r="E98" s="22" t="n">
        <v>46298</v>
      </c>
      <c r="F98" s="23"/>
      <c r="G98" s="17" t="str">
        <f aca="false">IF(F98&lt;&gt;"","Yapıldı",IF(E98&lt;Ayarlar!$B$3,"Gecikti",IF(E98-Ayarlar!$B$3&lt;=Ayarlar!$B$15,"Yaklaşıyor","Planlandı")))</f>
        <v>Yaklaşıyor</v>
      </c>
      <c r="H98" s="17" t="str">
        <f aca="false">IF(B98=D98,"Kendi mağazası!",IF(INDEX(Magazalar!$C:$C,MATCH(D98,Magazalar!$A:$A,0))&lt;&gt;C98,"Uzmanlık dışı",IF(INDEX(Magazalar!$B:$B,MATCH(D98,Magazalar!$A:$A,0))&lt;&gt;INDEX(Magazalar!$B:$B,MATCH(B98,Magazalar!$A:$A,0)),"Uygun (grup dışı)","Uygun")))</f>
        <v>Uygun</v>
      </c>
    </row>
    <row r="99" customFormat="false" ht="15" hidden="false" customHeight="false" outlineLevel="0" collapsed="false">
      <c r="A99" s="21" t="s">
        <v>102</v>
      </c>
      <c r="B99" s="21" t="s">
        <v>99</v>
      </c>
      <c r="C99" s="21" t="s">
        <v>92</v>
      </c>
      <c r="D99" s="21" t="s">
        <v>93</v>
      </c>
      <c r="E99" s="22" t="n">
        <v>46285</v>
      </c>
      <c r="F99" s="23"/>
      <c r="G99" s="17" t="str">
        <f aca="false">IF(F99&lt;&gt;"","Yapıldı",IF(E99&lt;Ayarlar!$B$3,"Gecikti",IF(E99-Ayarlar!$B$3&lt;=Ayarlar!$B$15,"Yaklaşıyor","Planlandı")))</f>
        <v>Yaklaşıyor</v>
      </c>
      <c r="H99" s="17" t="str">
        <f aca="false">IF(B99=D99,"Kendi mağazası!",IF(INDEX(Magazalar!$C:$C,MATCH(D99,Magazalar!$A:$A,0))&lt;&gt;C99,"Uzmanlık dışı",IF(INDEX(Magazalar!$B:$B,MATCH(D99,Magazalar!$A:$A,0))&lt;&gt;INDEX(Magazalar!$B:$B,MATCH(B99,Magazalar!$A:$A,0)),"Uygun (grup dışı)","Uygun")))</f>
        <v>Uygun (grup dışı)</v>
      </c>
    </row>
    <row r="100" customFormat="false" ht="15" hidden="false" customHeight="false" outlineLevel="0" collapsed="false">
      <c r="A100" s="21" t="s">
        <v>102</v>
      </c>
      <c r="B100" s="21" t="s">
        <v>99</v>
      </c>
      <c r="C100" s="21" t="s">
        <v>94</v>
      </c>
      <c r="D100" s="21" t="s">
        <v>89</v>
      </c>
      <c r="E100" s="22" t="n">
        <v>46330</v>
      </c>
      <c r="F100" s="23"/>
      <c r="G100" s="17" t="str">
        <f aca="false">IF(F100&lt;&gt;"","Yapıldı",IF(E100&lt;Ayarlar!$B$3,"Gecikti",IF(E100-Ayarlar!$B$3&lt;=Ayarlar!$B$15,"Yaklaşıyor","Planlandı")))</f>
        <v>Planlandı</v>
      </c>
      <c r="H100" s="17" t="str">
        <f aca="false">IF(B100=D100,"Kendi mağazası!",IF(INDEX(Magazalar!$C:$C,MATCH(D100,Magazalar!$A:$A,0))&lt;&gt;C100,"Uzmanlık dışı",IF(INDEX(Magazalar!$B:$B,MATCH(D100,Magazalar!$A:$A,0))&lt;&gt;INDEX(Magazalar!$B:$B,MATCH(B100,Magazalar!$A:$A,0)),"Uygun (grup dışı)","Uygun")))</f>
        <v>Uzmanlık dışı</v>
      </c>
    </row>
  </sheetData>
  <conditionalFormatting sqref="G5:G100">
    <cfRule type="expression" priority="2" aboveAverage="0" equalAverage="0" bottom="0" percent="0" rank="0" text="" dxfId="0">
      <formula>G5="Gecikti"</formula>
    </cfRule>
    <cfRule type="expression" priority="3" aboveAverage="0" equalAverage="0" bottom="0" percent="0" rank="0" text="" dxfId="2">
      <formula>G5="Yaklaşıyor"</formula>
    </cfRule>
    <cfRule type="expression" priority="4" aboveAverage="0" equalAverage="0" bottom="0" percent="0" rank="0" text="" dxfId="1">
      <formula>G5="Yapıldı"</formula>
    </cfRule>
  </conditionalFormatting>
  <conditionalFormatting sqref="H5:H100">
    <cfRule type="expression" priority="5" aboveAverage="0" equalAverage="0" bottom="0" percent="0" rank="0" text="" dxfId="0">
      <formula>LEFT(H5,5)&lt;&gt;"Uygun"</formula>
    </cfRule>
  </conditionalFormatting>
  <conditionalFormatting sqref="N6:N29">
    <cfRule type="expression" priority="6" aboveAverage="0" equalAverage="0" bottom="0" percent="0" rank="0" text="" dxfId="2">
      <formula>N6="Yaklaşıyor"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1"/>
    <col collapsed="false" customWidth="true" hidden="false" outlineLevel="0" max="4" min="4" style="0" width="7"/>
    <col collapsed="false" customWidth="true" hidden="false" outlineLevel="0" max="5" min="5" style="0" width="13"/>
    <col collapsed="false" customWidth="true" hidden="false" outlineLevel="0" max="6" min="6" style="0" width="20"/>
    <col collapsed="false" customWidth="true" hidden="false" outlineLevel="0" max="9" min="7" style="0" width="7"/>
    <col collapsed="false" customWidth="true" hidden="false" outlineLevel="0" max="11" min="10" style="0" width="9"/>
    <col collapsed="false" customWidth="true" hidden="false" outlineLevel="0" max="13" min="12" style="0" width="7"/>
    <col collapsed="false" customWidth="true" hidden="false" outlineLevel="0" max="14" min="14" style="0" width="11"/>
  </cols>
  <sheetData>
    <row r="1" customFormat="false" ht="30" hidden="false" customHeight="true" outlineLevel="0" collapsed="false">
      <c r="A1" s="5" t="s">
        <v>103</v>
      </c>
      <c r="B1" s="5" t="s">
        <v>104</v>
      </c>
      <c r="C1" s="5" t="s">
        <v>16</v>
      </c>
      <c r="D1" s="5" t="s">
        <v>46</v>
      </c>
      <c r="E1" s="5" t="s">
        <v>105</v>
      </c>
      <c r="F1" s="5" t="s">
        <v>106</v>
      </c>
      <c r="G1" s="5" t="s">
        <v>107</v>
      </c>
      <c r="H1" s="5" t="s">
        <v>108</v>
      </c>
      <c r="I1" s="5" t="s">
        <v>109</v>
      </c>
      <c r="J1" s="5" t="s">
        <v>110</v>
      </c>
      <c r="K1" s="5" t="s">
        <v>111</v>
      </c>
      <c r="L1" s="5" t="s">
        <v>112</v>
      </c>
      <c r="M1" s="5" t="s">
        <v>113</v>
      </c>
      <c r="N1" s="5" t="s">
        <v>83</v>
      </c>
    </row>
    <row r="2" customFormat="false" ht="15" hidden="false" customHeight="false" outlineLevel="0" collapsed="false">
      <c r="A2" s="21" t="s">
        <v>114</v>
      </c>
      <c r="B2" s="22" t="n">
        <v>46042</v>
      </c>
      <c r="C2" s="21" t="s">
        <v>89</v>
      </c>
      <c r="D2" s="21" t="s">
        <v>88</v>
      </c>
      <c r="E2" s="21" t="s">
        <v>115</v>
      </c>
      <c r="F2" s="21" t="s">
        <v>96</v>
      </c>
      <c r="G2" s="9" t="n">
        <f aca="false">COUNTIFS(Bulgular!$A$2:$A$570,$A2,Bulgular!$F$2:$F$570,"Kritik")</f>
        <v>1</v>
      </c>
      <c r="H2" s="9" t="n">
        <f aca="false">COUNTIFS(Bulgular!$A$2:$A$570,$A2,Bulgular!$F$2:$F$570,"Major")</f>
        <v>1</v>
      </c>
      <c r="I2" s="9" t="n">
        <f aca="false">COUNTIFS(Bulgular!$A$2:$A$570,$A2,Bulgular!$F$2:$F$570,"Minör")</f>
        <v>2</v>
      </c>
      <c r="J2" s="9" t="n">
        <f aca="false">G2*Ayarlar!$B$6+H2*Ayarlar!$B$7+I2*Ayarlar!$B$8</f>
        <v>5.5</v>
      </c>
      <c r="K2" s="6" t="n">
        <f aca="false">INDEX(Ayarlar!$C$11:$C$13,MATCH(D2,Ayarlar!$A$11:$A$13,0))</f>
        <v>40</v>
      </c>
      <c r="L2" s="7" t="n">
        <f aca="false">(K2-J2)/K2*100</f>
        <v>86.25</v>
      </c>
      <c r="M2" s="6" t="n">
        <f aca="false">INDEX(Ayarlar!$D$11:$D$13,MATCH(D2,Ayarlar!$A$11:$A$13,0))</f>
        <v>90</v>
      </c>
      <c r="N2" s="17" t="str">
        <f aca="false">IF(L2&gt;=M2,"Geçti","Hedef altı")</f>
        <v>Hedef altı</v>
      </c>
    </row>
    <row r="3" customFormat="false" ht="15" hidden="false" customHeight="false" outlineLevel="0" collapsed="false">
      <c r="A3" s="21" t="s">
        <v>116</v>
      </c>
      <c r="B3" s="22" t="n">
        <v>46043</v>
      </c>
      <c r="C3" s="21" t="s">
        <v>97</v>
      </c>
      <c r="D3" s="21" t="s">
        <v>94</v>
      </c>
      <c r="E3" s="21" t="s">
        <v>115</v>
      </c>
      <c r="F3" s="21" t="s">
        <v>95</v>
      </c>
      <c r="G3" s="9" t="n">
        <f aca="false">COUNTIFS(Bulgular!$A$2:$A$570,$A3,Bulgular!$F$2:$F$570,"Kritik")</f>
        <v>1</v>
      </c>
      <c r="H3" s="9" t="n">
        <f aca="false">COUNTIFS(Bulgular!$A$2:$A$570,$A3,Bulgular!$F$2:$F$570,"Major")</f>
        <v>3</v>
      </c>
      <c r="I3" s="9" t="n">
        <f aca="false">COUNTIFS(Bulgular!$A$2:$A$570,$A3,Bulgular!$F$2:$F$570,"Minör")</f>
        <v>0</v>
      </c>
      <c r="J3" s="9" t="n">
        <f aca="false">G3*Ayarlar!$B$6+H3*Ayarlar!$B$7+I3*Ayarlar!$B$8</f>
        <v>6.5</v>
      </c>
      <c r="K3" s="6" t="n">
        <f aca="false">INDEX(Ayarlar!$C$11:$C$13,MATCH(D3,Ayarlar!$A$11:$A$13,0))</f>
        <v>91</v>
      </c>
      <c r="L3" s="7" t="n">
        <f aca="false">(K3-J3)/K3*100</f>
        <v>92.8571428571429</v>
      </c>
      <c r="M3" s="6" t="n">
        <f aca="false">INDEX(Ayarlar!$D$11:$D$13,MATCH(D3,Ayarlar!$A$11:$A$13,0))</f>
        <v>90</v>
      </c>
      <c r="N3" s="17" t="str">
        <f aca="false">IF(L3&gt;=M3,"Geçti","Hedef altı")</f>
        <v>Geçti</v>
      </c>
    </row>
    <row r="4" customFormat="false" ht="15" hidden="false" customHeight="false" outlineLevel="0" collapsed="false">
      <c r="A4" s="21" t="s">
        <v>117</v>
      </c>
      <c r="B4" s="22" t="n">
        <v>46045</v>
      </c>
      <c r="C4" s="21" t="s">
        <v>95</v>
      </c>
      <c r="D4" s="21" t="s">
        <v>94</v>
      </c>
      <c r="E4" s="21" t="s">
        <v>115</v>
      </c>
      <c r="F4" s="21" t="s">
        <v>99</v>
      </c>
      <c r="G4" s="9" t="n">
        <f aca="false">COUNTIFS(Bulgular!$A$2:$A$570,$A4,Bulgular!$F$2:$F$570,"Kritik")</f>
        <v>0</v>
      </c>
      <c r="H4" s="9" t="n">
        <f aca="false">COUNTIFS(Bulgular!$A$2:$A$570,$A4,Bulgular!$F$2:$F$570,"Major")</f>
        <v>3</v>
      </c>
      <c r="I4" s="9" t="n">
        <f aca="false">COUNTIFS(Bulgular!$A$2:$A$570,$A4,Bulgular!$F$2:$F$570,"Minör")</f>
        <v>0</v>
      </c>
      <c r="J4" s="9" t="n">
        <f aca="false">G4*Ayarlar!$B$6+H4*Ayarlar!$B$7+I4*Ayarlar!$B$8</f>
        <v>4.5</v>
      </c>
      <c r="K4" s="6" t="n">
        <f aca="false">INDEX(Ayarlar!$C$11:$C$13,MATCH(D4,Ayarlar!$A$11:$A$13,0))</f>
        <v>91</v>
      </c>
      <c r="L4" s="7" t="n">
        <f aca="false">(K4-J4)/K4*100</f>
        <v>95.0549450549451</v>
      </c>
      <c r="M4" s="6" t="n">
        <f aca="false">INDEX(Ayarlar!$D$11:$D$13,MATCH(D4,Ayarlar!$A$11:$A$13,0))</f>
        <v>90</v>
      </c>
      <c r="N4" s="17" t="str">
        <f aca="false">IF(L4&gt;=M4,"Geçti","Hedef altı")</f>
        <v>Geçti</v>
      </c>
    </row>
    <row r="5" customFormat="false" ht="15" hidden="false" customHeight="false" outlineLevel="0" collapsed="false">
      <c r="A5" s="21" t="s">
        <v>118</v>
      </c>
      <c r="B5" s="22" t="n">
        <v>46045</v>
      </c>
      <c r="C5" s="21" t="s">
        <v>97</v>
      </c>
      <c r="D5" s="21" t="s">
        <v>92</v>
      </c>
      <c r="E5" s="21" t="s">
        <v>115</v>
      </c>
      <c r="F5" s="21" t="s">
        <v>93</v>
      </c>
      <c r="G5" s="9" t="n">
        <f aca="false">COUNTIFS(Bulgular!$A$2:$A$570,$A5,Bulgular!$F$2:$F$570,"Kritik")</f>
        <v>3</v>
      </c>
      <c r="H5" s="9" t="n">
        <f aca="false">COUNTIFS(Bulgular!$A$2:$A$570,$A5,Bulgular!$F$2:$F$570,"Major")</f>
        <v>0</v>
      </c>
      <c r="I5" s="9" t="n">
        <f aca="false">COUNTIFS(Bulgular!$A$2:$A$570,$A5,Bulgular!$F$2:$F$570,"Minör")</f>
        <v>0</v>
      </c>
      <c r="J5" s="9" t="n">
        <f aca="false">G5*Ayarlar!$B$6+H5*Ayarlar!$B$7+I5*Ayarlar!$B$8</f>
        <v>6</v>
      </c>
      <c r="K5" s="6" t="n">
        <f aca="false">INDEX(Ayarlar!$C$11:$C$13,MATCH(D5,Ayarlar!$A$11:$A$13,0))</f>
        <v>30</v>
      </c>
      <c r="L5" s="7" t="n">
        <f aca="false">(K5-J5)/K5*100</f>
        <v>80</v>
      </c>
      <c r="M5" s="6" t="n">
        <f aca="false">INDEX(Ayarlar!$D$11:$D$13,MATCH(D5,Ayarlar!$A$11:$A$13,0))</f>
        <v>85</v>
      </c>
      <c r="N5" s="17" t="str">
        <f aca="false">IF(L5&gt;=M5,"Geçti","Hedef altı")</f>
        <v>Hedef altı</v>
      </c>
    </row>
    <row r="6" customFormat="false" ht="15" hidden="false" customHeight="false" outlineLevel="0" collapsed="false">
      <c r="A6" s="21" t="s">
        <v>119</v>
      </c>
      <c r="B6" s="22" t="n">
        <v>46049</v>
      </c>
      <c r="C6" s="21" t="s">
        <v>87</v>
      </c>
      <c r="D6" s="21" t="s">
        <v>94</v>
      </c>
      <c r="E6" s="21" t="s">
        <v>115</v>
      </c>
      <c r="F6" s="21" t="s">
        <v>95</v>
      </c>
      <c r="G6" s="9" t="n">
        <f aca="false">COUNTIFS(Bulgular!$A$2:$A$570,$A6,Bulgular!$F$2:$F$570,"Kritik")</f>
        <v>1</v>
      </c>
      <c r="H6" s="9" t="n">
        <f aca="false">COUNTIFS(Bulgular!$A$2:$A$570,$A6,Bulgular!$F$2:$F$570,"Major")</f>
        <v>4</v>
      </c>
      <c r="I6" s="9" t="n">
        <f aca="false">COUNTIFS(Bulgular!$A$2:$A$570,$A6,Bulgular!$F$2:$F$570,"Minör")</f>
        <v>0</v>
      </c>
      <c r="J6" s="9" t="n">
        <f aca="false">G6*Ayarlar!$B$6+H6*Ayarlar!$B$7+I6*Ayarlar!$B$8</f>
        <v>8</v>
      </c>
      <c r="K6" s="6" t="n">
        <f aca="false">INDEX(Ayarlar!$C$11:$C$13,MATCH(D6,Ayarlar!$A$11:$A$13,0))</f>
        <v>91</v>
      </c>
      <c r="L6" s="7" t="n">
        <f aca="false">(K6-J6)/K6*100</f>
        <v>91.2087912087912</v>
      </c>
      <c r="M6" s="6" t="n">
        <f aca="false">INDEX(Ayarlar!$D$11:$D$13,MATCH(D6,Ayarlar!$A$11:$A$13,0))</f>
        <v>90</v>
      </c>
      <c r="N6" s="17" t="str">
        <f aca="false">IF(L6&gt;=M6,"Geçti","Hedef altı")</f>
        <v>Geçti</v>
      </c>
    </row>
    <row r="7" customFormat="false" ht="15" hidden="false" customHeight="false" outlineLevel="0" collapsed="false">
      <c r="A7" s="21" t="s">
        <v>120</v>
      </c>
      <c r="B7" s="22" t="n">
        <v>46050</v>
      </c>
      <c r="C7" s="21" t="s">
        <v>89</v>
      </c>
      <c r="D7" s="21" t="s">
        <v>92</v>
      </c>
      <c r="E7" s="21" t="s">
        <v>115</v>
      </c>
      <c r="F7" s="21" t="s">
        <v>93</v>
      </c>
      <c r="G7" s="9" t="n">
        <f aca="false">COUNTIFS(Bulgular!$A$2:$A$570,$A7,Bulgular!$F$2:$F$570,"Kritik")</f>
        <v>0</v>
      </c>
      <c r="H7" s="9" t="n">
        <f aca="false">COUNTIFS(Bulgular!$A$2:$A$570,$A7,Bulgular!$F$2:$F$570,"Major")</f>
        <v>1</v>
      </c>
      <c r="I7" s="9" t="n">
        <f aca="false">COUNTIFS(Bulgular!$A$2:$A$570,$A7,Bulgular!$F$2:$F$570,"Minör")</f>
        <v>1</v>
      </c>
      <c r="J7" s="9" t="n">
        <f aca="false">G7*Ayarlar!$B$6+H7*Ayarlar!$B$7+I7*Ayarlar!$B$8</f>
        <v>2.5</v>
      </c>
      <c r="K7" s="6" t="n">
        <f aca="false">INDEX(Ayarlar!$C$11:$C$13,MATCH(D7,Ayarlar!$A$11:$A$13,0))</f>
        <v>30</v>
      </c>
      <c r="L7" s="7" t="n">
        <f aca="false">(K7-J7)/K7*100</f>
        <v>91.6666666666667</v>
      </c>
      <c r="M7" s="6" t="n">
        <f aca="false">INDEX(Ayarlar!$D$11:$D$13,MATCH(D7,Ayarlar!$A$11:$A$13,0))</f>
        <v>85</v>
      </c>
      <c r="N7" s="17" t="str">
        <f aca="false">IF(L7&gt;=M7,"Geçti","Hedef altı")</f>
        <v>Geçti</v>
      </c>
    </row>
    <row r="8" customFormat="false" ht="15" hidden="false" customHeight="false" outlineLevel="0" collapsed="false">
      <c r="A8" s="21" t="s">
        <v>121</v>
      </c>
      <c r="B8" s="22" t="n">
        <v>46051</v>
      </c>
      <c r="C8" s="21" t="s">
        <v>98</v>
      </c>
      <c r="D8" s="21" t="s">
        <v>88</v>
      </c>
      <c r="E8" s="21" t="s">
        <v>115</v>
      </c>
      <c r="F8" s="21" t="s">
        <v>89</v>
      </c>
      <c r="G8" s="9" t="n">
        <f aca="false">COUNTIFS(Bulgular!$A$2:$A$570,$A8,Bulgular!$F$2:$F$570,"Kritik")</f>
        <v>0</v>
      </c>
      <c r="H8" s="9" t="n">
        <f aca="false">COUNTIFS(Bulgular!$A$2:$A$570,$A8,Bulgular!$F$2:$F$570,"Major")</f>
        <v>1</v>
      </c>
      <c r="I8" s="9" t="n">
        <f aca="false">COUNTIFS(Bulgular!$A$2:$A$570,$A8,Bulgular!$F$2:$F$570,"Minör")</f>
        <v>0</v>
      </c>
      <c r="J8" s="9" t="n">
        <f aca="false">G8*Ayarlar!$B$6+H8*Ayarlar!$B$7+I8*Ayarlar!$B$8</f>
        <v>1.5</v>
      </c>
      <c r="K8" s="6" t="n">
        <f aca="false">INDEX(Ayarlar!$C$11:$C$13,MATCH(D8,Ayarlar!$A$11:$A$13,0))</f>
        <v>40</v>
      </c>
      <c r="L8" s="7" t="n">
        <f aca="false">(K8-J8)/K8*100</f>
        <v>96.25</v>
      </c>
      <c r="M8" s="6" t="n">
        <f aca="false">INDEX(Ayarlar!$D$11:$D$13,MATCH(D8,Ayarlar!$A$11:$A$13,0))</f>
        <v>90</v>
      </c>
      <c r="N8" s="17" t="str">
        <f aca="false">IF(L8&gt;=M8,"Geçti","Hedef altı")</f>
        <v>Geçti</v>
      </c>
    </row>
    <row r="9" customFormat="false" ht="15" hidden="false" customHeight="false" outlineLevel="0" collapsed="false">
      <c r="A9" s="21" t="s">
        <v>122</v>
      </c>
      <c r="B9" s="22" t="n">
        <v>46052</v>
      </c>
      <c r="C9" s="21" t="s">
        <v>87</v>
      </c>
      <c r="D9" s="21" t="s">
        <v>88</v>
      </c>
      <c r="E9" s="21" t="s">
        <v>115</v>
      </c>
      <c r="F9" s="21" t="s">
        <v>89</v>
      </c>
      <c r="G9" s="9" t="n">
        <f aca="false">COUNTIFS(Bulgular!$A$2:$A$570,$A9,Bulgular!$F$2:$F$570,"Kritik")</f>
        <v>0</v>
      </c>
      <c r="H9" s="9" t="n">
        <f aca="false">COUNTIFS(Bulgular!$A$2:$A$570,$A9,Bulgular!$F$2:$F$570,"Major")</f>
        <v>3</v>
      </c>
      <c r="I9" s="9" t="n">
        <f aca="false">COUNTIFS(Bulgular!$A$2:$A$570,$A9,Bulgular!$F$2:$F$570,"Minör")</f>
        <v>1</v>
      </c>
      <c r="J9" s="9" t="n">
        <f aca="false">G9*Ayarlar!$B$6+H9*Ayarlar!$B$7+I9*Ayarlar!$B$8</f>
        <v>5.5</v>
      </c>
      <c r="K9" s="6" t="n">
        <f aca="false">INDEX(Ayarlar!$C$11:$C$13,MATCH(D9,Ayarlar!$A$11:$A$13,0))</f>
        <v>40</v>
      </c>
      <c r="L9" s="7" t="n">
        <f aca="false">(K9-J9)/K9*100</f>
        <v>86.25</v>
      </c>
      <c r="M9" s="6" t="n">
        <f aca="false">INDEX(Ayarlar!$D$11:$D$13,MATCH(D9,Ayarlar!$A$11:$A$13,0))</f>
        <v>90</v>
      </c>
      <c r="N9" s="17" t="str">
        <f aca="false">IF(L9&gt;=M9,"Geçti","Hedef altı")</f>
        <v>Hedef altı</v>
      </c>
    </row>
    <row r="10" customFormat="false" ht="15" hidden="false" customHeight="false" outlineLevel="0" collapsed="false">
      <c r="A10" s="21" t="s">
        <v>123</v>
      </c>
      <c r="B10" s="22" t="n">
        <v>46052</v>
      </c>
      <c r="C10" s="21" t="s">
        <v>95</v>
      </c>
      <c r="D10" s="21" t="s">
        <v>92</v>
      </c>
      <c r="E10" s="21" t="s">
        <v>115</v>
      </c>
      <c r="F10" s="21" t="s">
        <v>97</v>
      </c>
      <c r="G10" s="9" t="n">
        <f aca="false">COUNTIFS(Bulgular!$A$2:$A$570,$A10,Bulgular!$F$2:$F$570,"Kritik")</f>
        <v>0</v>
      </c>
      <c r="H10" s="9" t="n">
        <f aca="false">COUNTIFS(Bulgular!$A$2:$A$570,$A10,Bulgular!$F$2:$F$570,"Major")</f>
        <v>4</v>
      </c>
      <c r="I10" s="9" t="n">
        <f aca="false">COUNTIFS(Bulgular!$A$2:$A$570,$A10,Bulgular!$F$2:$F$570,"Minör")</f>
        <v>1</v>
      </c>
      <c r="J10" s="9" t="n">
        <f aca="false">G10*Ayarlar!$B$6+H10*Ayarlar!$B$7+I10*Ayarlar!$B$8</f>
        <v>7</v>
      </c>
      <c r="K10" s="6" t="n">
        <f aca="false">INDEX(Ayarlar!$C$11:$C$13,MATCH(D10,Ayarlar!$A$11:$A$13,0))</f>
        <v>30</v>
      </c>
      <c r="L10" s="7" t="n">
        <f aca="false">(K10-J10)/K10*100</f>
        <v>76.6666666666667</v>
      </c>
      <c r="M10" s="6" t="n">
        <f aca="false">INDEX(Ayarlar!$D$11:$D$13,MATCH(D10,Ayarlar!$A$11:$A$13,0))</f>
        <v>85</v>
      </c>
      <c r="N10" s="17" t="str">
        <f aca="false">IF(L10&gt;=M10,"Geçti","Hedef altı")</f>
        <v>Hedef altı</v>
      </c>
    </row>
    <row r="11" customFormat="false" ht="15" hidden="false" customHeight="false" outlineLevel="0" collapsed="false">
      <c r="A11" s="21" t="s">
        <v>124</v>
      </c>
      <c r="B11" s="22" t="n">
        <v>46053</v>
      </c>
      <c r="C11" s="21" t="s">
        <v>89</v>
      </c>
      <c r="D11" s="21" t="s">
        <v>94</v>
      </c>
      <c r="E11" s="21" t="s">
        <v>115</v>
      </c>
      <c r="F11" s="21" t="s">
        <v>87</v>
      </c>
      <c r="G11" s="9" t="n">
        <f aca="false">COUNTIFS(Bulgular!$A$2:$A$570,$A11,Bulgular!$F$2:$F$570,"Kritik")</f>
        <v>0</v>
      </c>
      <c r="H11" s="9" t="n">
        <f aca="false">COUNTIFS(Bulgular!$A$2:$A$570,$A11,Bulgular!$F$2:$F$570,"Major")</f>
        <v>2</v>
      </c>
      <c r="I11" s="9" t="n">
        <f aca="false">COUNTIFS(Bulgular!$A$2:$A$570,$A11,Bulgular!$F$2:$F$570,"Minör")</f>
        <v>1</v>
      </c>
      <c r="J11" s="9" t="n">
        <f aca="false">G11*Ayarlar!$B$6+H11*Ayarlar!$B$7+I11*Ayarlar!$B$8</f>
        <v>4</v>
      </c>
      <c r="K11" s="6" t="n">
        <f aca="false">INDEX(Ayarlar!$C$11:$C$13,MATCH(D11,Ayarlar!$A$11:$A$13,0))</f>
        <v>91</v>
      </c>
      <c r="L11" s="7" t="n">
        <f aca="false">(K11-J11)/K11*100</f>
        <v>95.6043956043956</v>
      </c>
      <c r="M11" s="6" t="n">
        <f aca="false">INDEX(Ayarlar!$D$11:$D$13,MATCH(D11,Ayarlar!$A$11:$A$13,0))</f>
        <v>90</v>
      </c>
      <c r="N11" s="17" t="str">
        <f aca="false">IF(L11&gt;=M11,"Geçti","Hedef altı")</f>
        <v>Geçti</v>
      </c>
    </row>
    <row r="12" customFormat="false" ht="15" hidden="false" customHeight="false" outlineLevel="0" collapsed="false">
      <c r="A12" s="21" t="s">
        <v>125</v>
      </c>
      <c r="B12" s="22" t="n">
        <v>46058</v>
      </c>
      <c r="C12" s="21" t="s">
        <v>99</v>
      </c>
      <c r="D12" s="21" t="s">
        <v>88</v>
      </c>
      <c r="E12" s="21" t="s">
        <v>115</v>
      </c>
      <c r="F12" s="21" t="s">
        <v>96</v>
      </c>
      <c r="G12" s="9" t="n">
        <f aca="false">COUNTIFS(Bulgular!$A$2:$A$570,$A12,Bulgular!$F$2:$F$570,"Kritik")</f>
        <v>0</v>
      </c>
      <c r="H12" s="9" t="n">
        <f aca="false">COUNTIFS(Bulgular!$A$2:$A$570,$A12,Bulgular!$F$2:$F$570,"Major")</f>
        <v>5</v>
      </c>
      <c r="I12" s="9" t="n">
        <f aca="false">COUNTIFS(Bulgular!$A$2:$A$570,$A12,Bulgular!$F$2:$F$570,"Minör")</f>
        <v>0</v>
      </c>
      <c r="J12" s="9" t="n">
        <f aca="false">G12*Ayarlar!$B$6+H12*Ayarlar!$B$7+I12*Ayarlar!$B$8</f>
        <v>7.5</v>
      </c>
      <c r="K12" s="6" t="n">
        <f aca="false">INDEX(Ayarlar!$C$11:$C$13,MATCH(D12,Ayarlar!$A$11:$A$13,0))</f>
        <v>40</v>
      </c>
      <c r="L12" s="7" t="n">
        <f aca="false">(K12-J12)/K12*100</f>
        <v>81.25</v>
      </c>
      <c r="M12" s="6" t="n">
        <f aca="false">INDEX(Ayarlar!$D$11:$D$13,MATCH(D12,Ayarlar!$A$11:$A$13,0))</f>
        <v>90</v>
      </c>
      <c r="N12" s="17" t="str">
        <f aca="false">IF(L12&gt;=M12,"Geçti","Hedef altı")</f>
        <v>Hedef altı</v>
      </c>
    </row>
    <row r="13" customFormat="false" ht="15" hidden="false" customHeight="false" outlineLevel="0" collapsed="false">
      <c r="A13" s="21" t="s">
        <v>126</v>
      </c>
      <c r="B13" s="22" t="n">
        <v>46059</v>
      </c>
      <c r="C13" s="21" t="s">
        <v>96</v>
      </c>
      <c r="D13" s="21" t="s">
        <v>88</v>
      </c>
      <c r="E13" s="21" t="s">
        <v>115</v>
      </c>
      <c r="F13" s="21" t="s">
        <v>89</v>
      </c>
      <c r="G13" s="9" t="n">
        <f aca="false">COUNTIFS(Bulgular!$A$2:$A$570,$A13,Bulgular!$F$2:$F$570,"Kritik")</f>
        <v>0</v>
      </c>
      <c r="H13" s="9" t="n">
        <f aca="false">COUNTIFS(Bulgular!$A$2:$A$570,$A13,Bulgular!$F$2:$F$570,"Major")</f>
        <v>5</v>
      </c>
      <c r="I13" s="9" t="n">
        <f aca="false">COUNTIFS(Bulgular!$A$2:$A$570,$A13,Bulgular!$F$2:$F$570,"Minör")</f>
        <v>1</v>
      </c>
      <c r="J13" s="9" t="n">
        <f aca="false">G13*Ayarlar!$B$6+H13*Ayarlar!$B$7+I13*Ayarlar!$B$8</f>
        <v>8.5</v>
      </c>
      <c r="K13" s="6" t="n">
        <f aca="false">INDEX(Ayarlar!$C$11:$C$13,MATCH(D13,Ayarlar!$A$11:$A$13,0))</f>
        <v>40</v>
      </c>
      <c r="L13" s="7" t="n">
        <f aca="false">(K13-J13)/K13*100</f>
        <v>78.75</v>
      </c>
      <c r="M13" s="6" t="n">
        <f aca="false">INDEX(Ayarlar!$D$11:$D$13,MATCH(D13,Ayarlar!$A$11:$A$13,0))</f>
        <v>90</v>
      </c>
      <c r="N13" s="17" t="str">
        <f aca="false">IF(L13&gt;=M13,"Geçti","Hedef altı")</f>
        <v>Hedef altı</v>
      </c>
    </row>
    <row r="14" customFormat="false" ht="15" hidden="false" customHeight="false" outlineLevel="0" collapsed="false">
      <c r="A14" s="21" t="s">
        <v>127</v>
      </c>
      <c r="B14" s="22" t="n">
        <v>46061</v>
      </c>
      <c r="C14" s="21" t="s">
        <v>87</v>
      </c>
      <c r="D14" s="21" t="s">
        <v>92</v>
      </c>
      <c r="E14" s="21" t="s">
        <v>115</v>
      </c>
      <c r="F14" s="21" t="s">
        <v>93</v>
      </c>
      <c r="G14" s="9" t="n">
        <f aca="false">COUNTIFS(Bulgular!$A$2:$A$570,$A14,Bulgular!$F$2:$F$570,"Kritik")</f>
        <v>0</v>
      </c>
      <c r="H14" s="9" t="n">
        <f aca="false">COUNTIFS(Bulgular!$A$2:$A$570,$A14,Bulgular!$F$2:$F$570,"Major")</f>
        <v>0</v>
      </c>
      <c r="I14" s="9" t="n">
        <f aca="false">COUNTIFS(Bulgular!$A$2:$A$570,$A14,Bulgular!$F$2:$F$570,"Minör")</f>
        <v>0</v>
      </c>
      <c r="J14" s="9" t="n">
        <f aca="false">G14*Ayarlar!$B$6+H14*Ayarlar!$B$7+I14*Ayarlar!$B$8</f>
        <v>0</v>
      </c>
      <c r="K14" s="6" t="n">
        <f aca="false">INDEX(Ayarlar!$C$11:$C$13,MATCH(D14,Ayarlar!$A$11:$A$13,0))</f>
        <v>30</v>
      </c>
      <c r="L14" s="7" t="n">
        <f aca="false">(K14-J14)/K14*100</f>
        <v>100</v>
      </c>
      <c r="M14" s="6" t="n">
        <f aca="false">INDEX(Ayarlar!$D$11:$D$13,MATCH(D14,Ayarlar!$A$11:$A$13,0))</f>
        <v>85</v>
      </c>
      <c r="N14" s="17" t="str">
        <f aca="false">IF(L14&gt;=M14,"Geçti","Hedef altı")</f>
        <v>Geçti</v>
      </c>
    </row>
    <row r="15" customFormat="false" ht="15" hidden="false" customHeight="false" outlineLevel="0" collapsed="false">
      <c r="A15" s="21" t="s">
        <v>128</v>
      </c>
      <c r="B15" s="22" t="n">
        <v>46061</v>
      </c>
      <c r="C15" s="21" t="s">
        <v>96</v>
      </c>
      <c r="D15" s="21" t="s">
        <v>92</v>
      </c>
      <c r="E15" s="21" t="s">
        <v>115</v>
      </c>
      <c r="F15" s="21" t="s">
        <v>93</v>
      </c>
      <c r="G15" s="9" t="n">
        <f aca="false">COUNTIFS(Bulgular!$A$2:$A$570,$A15,Bulgular!$F$2:$F$570,"Kritik")</f>
        <v>1</v>
      </c>
      <c r="H15" s="9" t="n">
        <f aca="false">COUNTIFS(Bulgular!$A$2:$A$570,$A15,Bulgular!$F$2:$F$570,"Major")</f>
        <v>3</v>
      </c>
      <c r="I15" s="9" t="n">
        <f aca="false">COUNTIFS(Bulgular!$A$2:$A$570,$A15,Bulgular!$F$2:$F$570,"Minör")</f>
        <v>0</v>
      </c>
      <c r="J15" s="9" t="n">
        <f aca="false">G15*Ayarlar!$B$6+H15*Ayarlar!$B$7+I15*Ayarlar!$B$8</f>
        <v>6.5</v>
      </c>
      <c r="K15" s="6" t="n">
        <f aca="false">INDEX(Ayarlar!$C$11:$C$13,MATCH(D15,Ayarlar!$A$11:$A$13,0))</f>
        <v>30</v>
      </c>
      <c r="L15" s="7" t="n">
        <f aca="false">(K15-J15)/K15*100</f>
        <v>78.3333333333333</v>
      </c>
      <c r="M15" s="6" t="n">
        <f aca="false">INDEX(Ayarlar!$D$11:$D$13,MATCH(D15,Ayarlar!$A$11:$A$13,0))</f>
        <v>85</v>
      </c>
      <c r="N15" s="17" t="str">
        <f aca="false">IF(L15&gt;=M15,"Geçti","Hedef altı")</f>
        <v>Hedef altı</v>
      </c>
    </row>
    <row r="16" customFormat="false" ht="15" hidden="false" customHeight="false" outlineLevel="0" collapsed="false">
      <c r="A16" s="21" t="s">
        <v>129</v>
      </c>
      <c r="B16" s="22" t="n">
        <v>46066</v>
      </c>
      <c r="C16" s="21" t="s">
        <v>95</v>
      </c>
      <c r="D16" s="21" t="s">
        <v>88</v>
      </c>
      <c r="E16" s="21" t="s">
        <v>115</v>
      </c>
      <c r="F16" s="21" t="s">
        <v>98</v>
      </c>
      <c r="G16" s="9" t="n">
        <f aca="false">COUNTIFS(Bulgular!$A$2:$A$570,$A16,Bulgular!$F$2:$F$570,"Kritik")</f>
        <v>0</v>
      </c>
      <c r="H16" s="9" t="n">
        <f aca="false">COUNTIFS(Bulgular!$A$2:$A$570,$A16,Bulgular!$F$2:$F$570,"Major")</f>
        <v>3</v>
      </c>
      <c r="I16" s="9" t="n">
        <f aca="false">COUNTIFS(Bulgular!$A$2:$A$570,$A16,Bulgular!$F$2:$F$570,"Minör")</f>
        <v>0</v>
      </c>
      <c r="J16" s="9" t="n">
        <f aca="false">G16*Ayarlar!$B$6+H16*Ayarlar!$B$7+I16*Ayarlar!$B$8</f>
        <v>4.5</v>
      </c>
      <c r="K16" s="6" t="n">
        <f aca="false">INDEX(Ayarlar!$C$11:$C$13,MATCH(D16,Ayarlar!$A$11:$A$13,0))</f>
        <v>40</v>
      </c>
      <c r="L16" s="7" t="n">
        <f aca="false">(K16-J16)/K16*100</f>
        <v>88.75</v>
      </c>
      <c r="M16" s="6" t="n">
        <f aca="false">INDEX(Ayarlar!$D$11:$D$13,MATCH(D16,Ayarlar!$A$11:$A$13,0))</f>
        <v>90</v>
      </c>
      <c r="N16" s="17" t="str">
        <f aca="false">IF(L16&gt;=M16,"Geçti","Hedef altı")</f>
        <v>Hedef altı</v>
      </c>
    </row>
    <row r="17" customFormat="false" ht="15" hidden="false" customHeight="false" outlineLevel="0" collapsed="false">
      <c r="A17" s="21" t="s">
        <v>130</v>
      </c>
      <c r="B17" s="22" t="n">
        <v>46066</v>
      </c>
      <c r="C17" s="21" t="s">
        <v>99</v>
      </c>
      <c r="D17" s="21" t="s">
        <v>94</v>
      </c>
      <c r="E17" s="21" t="s">
        <v>115</v>
      </c>
      <c r="F17" s="21" t="s">
        <v>95</v>
      </c>
      <c r="G17" s="9" t="n">
        <f aca="false">COUNTIFS(Bulgular!$A$2:$A$570,$A17,Bulgular!$F$2:$F$570,"Kritik")</f>
        <v>1</v>
      </c>
      <c r="H17" s="9" t="n">
        <f aca="false">COUNTIFS(Bulgular!$A$2:$A$570,$A17,Bulgular!$F$2:$F$570,"Major")</f>
        <v>5</v>
      </c>
      <c r="I17" s="9" t="n">
        <f aca="false">COUNTIFS(Bulgular!$A$2:$A$570,$A17,Bulgular!$F$2:$F$570,"Minör")</f>
        <v>0</v>
      </c>
      <c r="J17" s="9" t="n">
        <f aca="false">G17*Ayarlar!$B$6+H17*Ayarlar!$B$7+I17*Ayarlar!$B$8</f>
        <v>9.5</v>
      </c>
      <c r="K17" s="6" t="n">
        <f aca="false">INDEX(Ayarlar!$C$11:$C$13,MATCH(D17,Ayarlar!$A$11:$A$13,0))</f>
        <v>91</v>
      </c>
      <c r="L17" s="7" t="n">
        <f aca="false">(K17-J17)/K17*100</f>
        <v>89.5604395604396</v>
      </c>
      <c r="M17" s="6" t="n">
        <f aca="false">INDEX(Ayarlar!$D$11:$D$13,MATCH(D17,Ayarlar!$A$11:$A$13,0))</f>
        <v>90</v>
      </c>
      <c r="N17" s="17" t="str">
        <f aca="false">IF(L17&gt;=M17,"Geçti","Hedef altı")</f>
        <v>Hedef altı</v>
      </c>
    </row>
    <row r="18" customFormat="false" ht="15" hidden="false" customHeight="false" outlineLevel="0" collapsed="false">
      <c r="A18" s="21" t="s">
        <v>131</v>
      </c>
      <c r="B18" s="22" t="n">
        <v>46069</v>
      </c>
      <c r="C18" s="21" t="s">
        <v>93</v>
      </c>
      <c r="D18" s="21" t="s">
        <v>92</v>
      </c>
      <c r="E18" s="21" t="s">
        <v>115</v>
      </c>
      <c r="F18" s="21" t="s">
        <v>97</v>
      </c>
      <c r="G18" s="9" t="n">
        <f aca="false">COUNTIFS(Bulgular!$A$2:$A$570,$A18,Bulgular!$F$2:$F$570,"Kritik")</f>
        <v>0</v>
      </c>
      <c r="H18" s="9" t="n">
        <f aca="false">COUNTIFS(Bulgular!$A$2:$A$570,$A18,Bulgular!$F$2:$F$570,"Major")</f>
        <v>2</v>
      </c>
      <c r="I18" s="9" t="n">
        <f aca="false">COUNTIFS(Bulgular!$A$2:$A$570,$A18,Bulgular!$F$2:$F$570,"Minör")</f>
        <v>0</v>
      </c>
      <c r="J18" s="9" t="n">
        <f aca="false">G18*Ayarlar!$B$6+H18*Ayarlar!$B$7+I18*Ayarlar!$B$8</f>
        <v>3</v>
      </c>
      <c r="K18" s="6" t="n">
        <f aca="false">INDEX(Ayarlar!$C$11:$C$13,MATCH(D18,Ayarlar!$A$11:$A$13,0))</f>
        <v>30</v>
      </c>
      <c r="L18" s="7" t="n">
        <f aca="false">(K18-J18)/K18*100</f>
        <v>90</v>
      </c>
      <c r="M18" s="6" t="n">
        <f aca="false">INDEX(Ayarlar!$D$11:$D$13,MATCH(D18,Ayarlar!$A$11:$A$13,0))</f>
        <v>85</v>
      </c>
      <c r="N18" s="17" t="str">
        <f aca="false">IF(L18&gt;=M18,"Geçti","Hedef altı")</f>
        <v>Geçti</v>
      </c>
    </row>
    <row r="19" customFormat="false" ht="15" hidden="false" customHeight="false" outlineLevel="0" collapsed="false">
      <c r="A19" s="21" t="s">
        <v>132</v>
      </c>
      <c r="B19" s="22" t="n">
        <v>46069</v>
      </c>
      <c r="C19" s="21" t="s">
        <v>93</v>
      </c>
      <c r="D19" s="21" t="s">
        <v>94</v>
      </c>
      <c r="E19" s="21" t="s">
        <v>115</v>
      </c>
      <c r="F19" s="21" t="s">
        <v>87</v>
      </c>
      <c r="G19" s="9" t="n">
        <f aca="false">COUNTIFS(Bulgular!$A$2:$A$570,$A19,Bulgular!$F$2:$F$570,"Kritik")</f>
        <v>2</v>
      </c>
      <c r="H19" s="9" t="n">
        <f aca="false">COUNTIFS(Bulgular!$A$2:$A$570,$A19,Bulgular!$F$2:$F$570,"Major")</f>
        <v>4</v>
      </c>
      <c r="I19" s="9" t="n">
        <f aca="false">COUNTIFS(Bulgular!$A$2:$A$570,$A19,Bulgular!$F$2:$F$570,"Minör")</f>
        <v>0</v>
      </c>
      <c r="J19" s="9" t="n">
        <f aca="false">G19*Ayarlar!$B$6+H19*Ayarlar!$B$7+I19*Ayarlar!$B$8</f>
        <v>10</v>
      </c>
      <c r="K19" s="6" t="n">
        <f aca="false">INDEX(Ayarlar!$C$11:$C$13,MATCH(D19,Ayarlar!$A$11:$A$13,0))</f>
        <v>91</v>
      </c>
      <c r="L19" s="7" t="n">
        <f aca="false">(K19-J19)/K19*100</f>
        <v>89.010989010989</v>
      </c>
      <c r="M19" s="6" t="n">
        <f aca="false">INDEX(Ayarlar!$D$11:$D$13,MATCH(D19,Ayarlar!$A$11:$A$13,0))</f>
        <v>90</v>
      </c>
      <c r="N19" s="17" t="str">
        <f aca="false">IF(L19&gt;=M19,"Geçti","Hedef altı")</f>
        <v>Hedef altı</v>
      </c>
    </row>
    <row r="20" customFormat="false" ht="15" hidden="false" customHeight="false" outlineLevel="0" collapsed="false">
      <c r="A20" s="21" t="s">
        <v>133</v>
      </c>
      <c r="B20" s="22" t="n">
        <v>46070</v>
      </c>
      <c r="C20" s="21" t="s">
        <v>97</v>
      </c>
      <c r="D20" s="21" t="s">
        <v>88</v>
      </c>
      <c r="E20" s="21" t="s">
        <v>115</v>
      </c>
      <c r="F20" s="21" t="s">
        <v>98</v>
      </c>
      <c r="G20" s="9" t="n">
        <f aca="false">COUNTIFS(Bulgular!$A$2:$A$570,$A20,Bulgular!$F$2:$F$570,"Kritik")</f>
        <v>1</v>
      </c>
      <c r="H20" s="9" t="n">
        <f aca="false">COUNTIFS(Bulgular!$A$2:$A$570,$A20,Bulgular!$F$2:$F$570,"Major")</f>
        <v>1</v>
      </c>
      <c r="I20" s="9" t="n">
        <f aca="false">COUNTIFS(Bulgular!$A$2:$A$570,$A20,Bulgular!$F$2:$F$570,"Minör")</f>
        <v>0</v>
      </c>
      <c r="J20" s="9" t="n">
        <f aca="false">G20*Ayarlar!$B$6+H20*Ayarlar!$B$7+I20*Ayarlar!$B$8</f>
        <v>3.5</v>
      </c>
      <c r="K20" s="6" t="n">
        <f aca="false">INDEX(Ayarlar!$C$11:$C$13,MATCH(D20,Ayarlar!$A$11:$A$13,0))</f>
        <v>40</v>
      </c>
      <c r="L20" s="7" t="n">
        <f aca="false">(K20-J20)/K20*100</f>
        <v>91.25</v>
      </c>
      <c r="M20" s="6" t="n">
        <f aca="false">INDEX(Ayarlar!$D$11:$D$13,MATCH(D20,Ayarlar!$A$11:$A$13,0))</f>
        <v>90</v>
      </c>
      <c r="N20" s="17" t="str">
        <f aca="false">IF(L20&gt;=M20,"Geçti","Hedef altı")</f>
        <v>Geçti</v>
      </c>
    </row>
    <row r="21" customFormat="false" ht="15" hidden="false" customHeight="false" outlineLevel="0" collapsed="false">
      <c r="A21" s="21" t="s">
        <v>134</v>
      </c>
      <c r="B21" s="22" t="n">
        <v>46073</v>
      </c>
      <c r="C21" s="21" t="s">
        <v>98</v>
      </c>
      <c r="D21" s="21" t="s">
        <v>94</v>
      </c>
      <c r="E21" s="21" t="s">
        <v>115</v>
      </c>
      <c r="F21" s="21" t="s">
        <v>95</v>
      </c>
      <c r="G21" s="9" t="n">
        <f aca="false">COUNTIFS(Bulgular!$A$2:$A$570,$A21,Bulgular!$F$2:$F$570,"Kritik")</f>
        <v>0</v>
      </c>
      <c r="H21" s="9" t="n">
        <f aca="false">COUNTIFS(Bulgular!$A$2:$A$570,$A21,Bulgular!$F$2:$F$570,"Major")</f>
        <v>2</v>
      </c>
      <c r="I21" s="9" t="n">
        <f aca="false">COUNTIFS(Bulgular!$A$2:$A$570,$A21,Bulgular!$F$2:$F$570,"Minör")</f>
        <v>0</v>
      </c>
      <c r="J21" s="9" t="n">
        <f aca="false">G21*Ayarlar!$B$6+H21*Ayarlar!$B$7+I21*Ayarlar!$B$8</f>
        <v>3</v>
      </c>
      <c r="K21" s="6" t="n">
        <f aca="false">INDEX(Ayarlar!$C$11:$C$13,MATCH(D21,Ayarlar!$A$11:$A$13,0))</f>
        <v>91</v>
      </c>
      <c r="L21" s="7" t="n">
        <f aca="false">(K21-J21)/K21*100</f>
        <v>96.7032967032967</v>
      </c>
      <c r="M21" s="6" t="n">
        <f aca="false">INDEX(Ayarlar!$D$11:$D$13,MATCH(D21,Ayarlar!$A$11:$A$13,0))</f>
        <v>90</v>
      </c>
      <c r="N21" s="17" t="str">
        <f aca="false">IF(L21&gt;=M21,"Geçti","Hedef altı")</f>
        <v>Geçti</v>
      </c>
    </row>
    <row r="22" customFormat="false" ht="15" hidden="false" customHeight="false" outlineLevel="0" collapsed="false">
      <c r="A22" s="21" t="s">
        <v>135</v>
      </c>
      <c r="B22" s="22" t="n">
        <v>46078</v>
      </c>
      <c r="C22" s="21" t="s">
        <v>93</v>
      </c>
      <c r="D22" s="21" t="s">
        <v>88</v>
      </c>
      <c r="E22" s="21" t="s">
        <v>115</v>
      </c>
      <c r="F22" s="21" t="s">
        <v>89</v>
      </c>
      <c r="G22" s="9" t="n">
        <f aca="false">COUNTIFS(Bulgular!$A$2:$A$570,$A22,Bulgular!$F$2:$F$570,"Kritik")</f>
        <v>0</v>
      </c>
      <c r="H22" s="9" t="n">
        <f aca="false">COUNTIFS(Bulgular!$A$2:$A$570,$A22,Bulgular!$F$2:$F$570,"Major")</f>
        <v>3</v>
      </c>
      <c r="I22" s="9" t="n">
        <f aca="false">COUNTIFS(Bulgular!$A$2:$A$570,$A22,Bulgular!$F$2:$F$570,"Minör")</f>
        <v>2</v>
      </c>
      <c r="J22" s="9" t="n">
        <f aca="false">G22*Ayarlar!$B$6+H22*Ayarlar!$B$7+I22*Ayarlar!$B$8</f>
        <v>6.5</v>
      </c>
      <c r="K22" s="6" t="n">
        <f aca="false">INDEX(Ayarlar!$C$11:$C$13,MATCH(D22,Ayarlar!$A$11:$A$13,0))</f>
        <v>40</v>
      </c>
      <c r="L22" s="7" t="n">
        <f aca="false">(K22-J22)/K22*100</f>
        <v>83.75</v>
      </c>
      <c r="M22" s="6" t="n">
        <f aca="false">INDEX(Ayarlar!$D$11:$D$13,MATCH(D22,Ayarlar!$A$11:$A$13,0))</f>
        <v>90</v>
      </c>
      <c r="N22" s="17" t="str">
        <f aca="false">IF(L22&gt;=M22,"Geçti","Hedef altı")</f>
        <v>Hedef altı</v>
      </c>
    </row>
    <row r="23" customFormat="false" ht="15" hidden="false" customHeight="false" outlineLevel="0" collapsed="false">
      <c r="A23" s="21" t="s">
        <v>136</v>
      </c>
      <c r="B23" s="22" t="n">
        <v>46079</v>
      </c>
      <c r="C23" s="21" t="s">
        <v>96</v>
      </c>
      <c r="D23" s="21" t="s">
        <v>94</v>
      </c>
      <c r="E23" s="21" t="s">
        <v>115</v>
      </c>
      <c r="F23" s="21" t="s">
        <v>99</v>
      </c>
      <c r="G23" s="9" t="n">
        <f aca="false">COUNTIFS(Bulgular!$A$2:$A$570,$A23,Bulgular!$F$2:$F$570,"Kritik")</f>
        <v>1</v>
      </c>
      <c r="H23" s="9" t="n">
        <f aca="false">COUNTIFS(Bulgular!$A$2:$A$570,$A23,Bulgular!$F$2:$F$570,"Major")</f>
        <v>3</v>
      </c>
      <c r="I23" s="9" t="n">
        <f aca="false">COUNTIFS(Bulgular!$A$2:$A$570,$A23,Bulgular!$F$2:$F$570,"Minör")</f>
        <v>0</v>
      </c>
      <c r="J23" s="9" t="n">
        <f aca="false">G23*Ayarlar!$B$6+H23*Ayarlar!$B$7+I23*Ayarlar!$B$8</f>
        <v>6.5</v>
      </c>
      <c r="K23" s="6" t="n">
        <f aca="false">INDEX(Ayarlar!$C$11:$C$13,MATCH(D23,Ayarlar!$A$11:$A$13,0))</f>
        <v>91</v>
      </c>
      <c r="L23" s="7" t="n">
        <f aca="false">(K23-J23)/K23*100</f>
        <v>92.8571428571429</v>
      </c>
      <c r="M23" s="6" t="n">
        <f aca="false">INDEX(Ayarlar!$D$11:$D$13,MATCH(D23,Ayarlar!$A$11:$A$13,0))</f>
        <v>90</v>
      </c>
      <c r="N23" s="17" t="str">
        <f aca="false">IF(L23&gt;=M23,"Geçti","Hedef altı")</f>
        <v>Geçti</v>
      </c>
    </row>
    <row r="24" customFormat="false" ht="15" hidden="false" customHeight="false" outlineLevel="0" collapsed="false">
      <c r="A24" s="21" t="s">
        <v>137</v>
      </c>
      <c r="B24" s="22" t="n">
        <v>46081</v>
      </c>
      <c r="C24" s="21" t="s">
        <v>99</v>
      </c>
      <c r="D24" s="21" t="s">
        <v>92</v>
      </c>
      <c r="E24" s="21" t="s">
        <v>115</v>
      </c>
      <c r="F24" s="21" t="s">
        <v>97</v>
      </c>
      <c r="G24" s="9" t="n">
        <f aca="false">COUNTIFS(Bulgular!$A$2:$A$570,$A24,Bulgular!$F$2:$F$570,"Kritik")</f>
        <v>3</v>
      </c>
      <c r="H24" s="9" t="n">
        <f aca="false">COUNTIFS(Bulgular!$A$2:$A$570,$A24,Bulgular!$F$2:$F$570,"Major")</f>
        <v>1</v>
      </c>
      <c r="I24" s="9" t="n">
        <f aca="false">COUNTIFS(Bulgular!$A$2:$A$570,$A24,Bulgular!$F$2:$F$570,"Minör")</f>
        <v>1</v>
      </c>
      <c r="J24" s="9" t="n">
        <f aca="false">G24*Ayarlar!$B$6+H24*Ayarlar!$B$7+I24*Ayarlar!$B$8</f>
        <v>8.5</v>
      </c>
      <c r="K24" s="6" t="n">
        <f aca="false">INDEX(Ayarlar!$C$11:$C$13,MATCH(D24,Ayarlar!$A$11:$A$13,0))</f>
        <v>30</v>
      </c>
      <c r="L24" s="7" t="n">
        <f aca="false">(K24-J24)/K24*100</f>
        <v>71.6666666666667</v>
      </c>
      <c r="M24" s="6" t="n">
        <f aca="false">INDEX(Ayarlar!$D$11:$D$13,MATCH(D24,Ayarlar!$A$11:$A$13,0))</f>
        <v>85</v>
      </c>
      <c r="N24" s="17" t="str">
        <f aca="false">IF(L24&gt;=M24,"Geçti","Hedef altı")</f>
        <v>Hedef altı</v>
      </c>
    </row>
    <row r="25" customFormat="false" ht="15" hidden="false" customHeight="false" outlineLevel="0" collapsed="false">
      <c r="A25" s="21" t="s">
        <v>138</v>
      </c>
      <c r="B25" s="22" t="n">
        <v>46082</v>
      </c>
      <c r="C25" s="21" t="s">
        <v>98</v>
      </c>
      <c r="D25" s="21" t="s">
        <v>92</v>
      </c>
      <c r="E25" s="21" t="s">
        <v>115</v>
      </c>
      <c r="F25" s="21" t="s">
        <v>97</v>
      </c>
      <c r="G25" s="9" t="n">
        <f aca="false">COUNTIFS(Bulgular!$A$2:$A$570,$A25,Bulgular!$F$2:$F$570,"Kritik")</f>
        <v>0</v>
      </c>
      <c r="H25" s="9" t="n">
        <f aca="false">COUNTIFS(Bulgular!$A$2:$A$570,$A25,Bulgular!$F$2:$F$570,"Major")</f>
        <v>3</v>
      </c>
      <c r="I25" s="9" t="n">
        <f aca="false">COUNTIFS(Bulgular!$A$2:$A$570,$A25,Bulgular!$F$2:$F$570,"Minör")</f>
        <v>2</v>
      </c>
      <c r="J25" s="9" t="n">
        <f aca="false">G25*Ayarlar!$B$6+H25*Ayarlar!$B$7+I25*Ayarlar!$B$8</f>
        <v>6.5</v>
      </c>
      <c r="K25" s="6" t="n">
        <f aca="false">INDEX(Ayarlar!$C$11:$C$13,MATCH(D25,Ayarlar!$A$11:$A$13,0))</f>
        <v>30</v>
      </c>
      <c r="L25" s="7" t="n">
        <f aca="false">(K25-J25)/K25*100</f>
        <v>78.3333333333333</v>
      </c>
      <c r="M25" s="6" t="n">
        <f aca="false">INDEX(Ayarlar!$D$11:$D$13,MATCH(D25,Ayarlar!$A$11:$A$13,0))</f>
        <v>85</v>
      </c>
      <c r="N25" s="17" t="str">
        <f aca="false">IF(L25&gt;=M25,"Geçti","Hedef altı")</f>
        <v>Hedef altı</v>
      </c>
    </row>
    <row r="26" customFormat="false" ht="15" hidden="false" customHeight="false" outlineLevel="0" collapsed="false">
      <c r="A26" s="21" t="s">
        <v>139</v>
      </c>
      <c r="B26" s="22" t="n">
        <v>46082</v>
      </c>
      <c r="C26" s="21" t="s">
        <v>89</v>
      </c>
      <c r="D26" s="21" t="s">
        <v>94</v>
      </c>
      <c r="E26" s="21" t="s">
        <v>140</v>
      </c>
      <c r="F26" s="21" t="s">
        <v>141</v>
      </c>
      <c r="G26" s="9" t="n">
        <f aca="false">COUNTIFS(Bulgular!$A$2:$A$570,$A26,Bulgular!$F$2:$F$570,"Kritik")</f>
        <v>0</v>
      </c>
      <c r="H26" s="9" t="n">
        <f aca="false">COUNTIFS(Bulgular!$A$2:$A$570,$A26,Bulgular!$F$2:$F$570,"Major")</f>
        <v>1</v>
      </c>
      <c r="I26" s="9" t="n">
        <f aca="false">COUNTIFS(Bulgular!$A$2:$A$570,$A26,Bulgular!$F$2:$F$570,"Minör")</f>
        <v>0</v>
      </c>
      <c r="J26" s="9" t="n">
        <f aca="false">G26*Ayarlar!$B$6+H26*Ayarlar!$B$7+I26*Ayarlar!$B$8</f>
        <v>1.5</v>
      </c>
      <c r="K26" s="6" t="n">
        <f aca="false">INDEX(Ayarlar!$C$11:$C$13,MATCH(D26,Ayarlar!$A$11:$A$13,0))</f>
        <v>91</v>
      </c>
      <c r="L26" s="7" t="n">
        <f aca="false">(K26-J26)/K26*100</f>
        <v>98.3516483516484</v>
      </c>
      <c r="M26" s="6" t="n">
        <f aca="false">INDEX(Ayarlar!$D$11:$D$13,MATCH(D26,Ayarlar!$A$11:$A$13,0))</f>
        <v>90</v>
      </c>
      <c r="N26" s="17" t="str">
        <f aca="false">IF(L26&gt;=M26,"Geçti","Hedef altı")</f>
        <v>Geçti</v>
      </c>
    </row>
    <row r="27" customFormat="false" ht="15" hidden="false" customHeight="false" outlineLevel="0" collapsed="false">
      <c r="A27" s="21" t="s">
        <v>142</v>
      </c>
      <c r="B27" s="22" t="n">
        <v>46083</v>
      </c>
      <c r="C27" s="21" t="s">
        <v>99</v>
      </c>
      <c r="D27" s="21" t="s">
        <v>94</v>
      </c>
      <c r="E27" s="21" t="s">
        <v>140</v>
      </c>
      <c r="F27" s="21" t="s">
        <v>141</v>
      </c>
      <c r="G27" s="9" t="n">
        <f aca="false">COUNTIFS(Bulgular!$A$2:$A$570,$A27,Bulgular!$F$2:$F$570,"Kritik")</f>
        <v>2</v>
      </c>
      <c r="H27" s="9" t="n">
        <f aca="false">COUNTIFS(Bulgular!$A$2:$A$570,$A27,Bulgular!$F$2:$F$570,"Major")</f>
        <v>1</v>
      </c>
      <c r="I27" s="9" t="n">
        <f aca="false">COUNTIFS(Bulgular!$A$2:$A$570,$A27,Bulgular!$F$2:$F$570,"Minör")</f>
        <v>1</v>
      </c>
      <c r="J27" s="9" t="n">
        <f aca="false">G27*Ayarlar!$B$6+H27*Ayarlar!$B$7+I27*Ayarlar!$B$8</f>
        <v>6.5</v>
      </c>
      <c r="K27" s="6" t="n">
        <f aca="false">INDEX(Ayarlar!$C$11:$C$13,MATCH(D27,Ayarlar!$A$11:$A$13,0))</f>
        <v>91</v>
      </c>
      <c r="L27" s="7" t="n">
        <f aca="false">(K27-J27)/K27*100</f>
        <v>92.8571428571429</v>
      </c>
      <c r="M27" s="6" t="n">
        <f aca="false">INDEX(Ayarlar!$D$11:$D$13,MATCH(D27,Ayarlar!$A$11:$A$13,0))</f>
        <v>90</v>
      </c>
      <c r="N27" s="17" t="str">
        <f aca="false">IF(L27&gt;=M27,"Geçti","Hedef altı")</f>
        <v>Geçti</v>
      </c>
    </row>
    <row r="28" customFormat="false" ht="15" hidden="false" customHeight="false" outlineLevel="0" collapsed="false">
      <c r="A28" s="21" t="s">
        <v>143</v>
      </c>
      <c r="B28" s="22" t="n">
        <v>46092</v>
      </c>
      <c r="C28" s="21" t="s">
        <v>96</v>
      </c>
      <c r="D28" s="21" t="s">
        <v>94</v>
      </c>
      <c r="E28" s="21" t="s">
        <v>140</v>
      </c>
      <c r="F28" s="21" t="s">
        <v>141</v>
      </c>
      <c r="G28" s="9" t="n">
        <f aca="false">COUNTIFS(Bulgular!$A$2:$A$570,$A28,Bulgular!$F$2:$F$570,"Kritik")</f>
        <v>1</v>
      </c>
      <c r="H28" s="9" t="n">
        <f aca="false">COUNTIFS(Bulgular!$A$2:$A$570,$A28,Bulgular!$F$2:$F$570,"Major")</f>
        <v>3</v>
      </c>
      <c r="I28" s="9" t="n">
        <f aca="false">COUNTIFS(Bulgular!$A$2:$A$570,$A28,Bulgular!$F$2:$F$570,"Minör")</f>
        <v>0</v>
      </c>
      <c r="J28" s="9" t="n">
        <f aca="false">G28*Ayarlar!$B$6+H28*Ayarlar!$B$7+I28*Ayarlar!$B$8</f>
        <v>6.5</v>
      </c>
      <c r="K28" s="6" t="n">
        <f aca="false">INDEX(Ayarlar!$C$11:$C$13,MATCH(D28,Ayarlar!$A$11:$A$13,0))</f>
        <v>91</v>
      </c>
      <c r="L28" s="7" t="n">
        <f aca="false">(K28-J28)/K28*100</f>
        <v>92.8571428571429</v>
      </c>
      <c r="M28" s="6" t="n">
        <f aca="false">INDEX(Ayarlar!$D$11:$D$13,MATCH(D28,Ayarlar!$A$11:$A$13,0))</f>
        <v>90</v>
      </c>
      <c r="N28" s="17" t="str">
        <f aca="false">IF(L28&gt;=M28,"Geçti","Hedef altı")</f>
        <v>Geçti</v>
      </c>
    </row>
    <row r="29" customFormat="false" ht="15" hidden="false" customHeight="false" outlineLevel="0" collapsed="false">
      <c r="A29" s="21" t="s">
        <v>144</v>
      </c>
      <c r="B29" s="22" t="n">
        <v>46098</v>
      </c>
      <c r="C29" s="21" t="s">
        <v>95</v>
      </c>
      <c r="D29" s="21" t="s">
        <v>92</v>
      </c>
      <c r="E29" s="21" t="s">
        <v>140</v>
      </c>
      <c r="F29" s="21" t="s">
        <v>141</v>
      </c>
      <c r="G29" s="9" t="n">
        <f aca="false">COUNTIFS(Bulgular!$A$2:$A$570,$A29,Bulgular!$F$2:$F$570,"Kritik")</f>
        <v>1</v>
      </c>
      <c r="H29" s="9" t="n">
        <f aca="false">COUNTIFS(Bulgular!$A$2:$A$570,$A29,Bulgular!$F$2:$F$570,"Major")</f>
        <v>3</v>
      </c>
      <c r="I29" s="9" t="n">
        <f aca="false">COUNTIFS(Bulgular!$A$2:$A$570,$A29,Bulgular!$F$2:$F$570,"Minör")</f>
        <v>1</v>
      </c>
      <c r="J29" s="9" t="n">
        <f aca="false">G29*Ayarlar!$B$6+H29*Ayarlar!$B$7+I29*Ayarlar!$B$8</f>
        <v>7.5</v>
      </c>
      <c r="K29" s="6" t="n">
        <f aca="false">INDEX(Ayarlar!$C$11:$C$13,MATCH(D29,Ayarlar!$A$11:$A$13,0))</f>
        <v>30</v>
      </c>
      <c r="L29" s="7" t="n">
        <f aca="false">(K29-J29)/K29*100</f>
        <v>75</v>
      </c>
      <c r="M29" s="6" t="n">
        <f aca="false">INDEX(Ayarlar!$D$11:$D$13,MATCH(D29,Ayarlar!$A$11:$A$13,0))</f>
        <v>85</v>
      </c>
      <c r="N29" s="17" t="str">
        <f aca="false">IF(L29&gt;=M29,"Geçti","Hedef altı")</f>
        <v>Hedef altı</v>
      </c>
    </row>
    <row r="30" customFormat="false" ht="15" hidden="false" customHeight="false" outlineLevel="0" collapsed="false">
      <c r="A30" s="21" t="s">
        <v>145</v>
      </c>
      <c r="B30" s="22" t="n">
        <v>46104</v>
      </c>
      <c r="C30" s="21" t="s">
        <v>99</v>
      </c>
      <c r="D30" s="21" t="s">
        <v>92</v>
      </c>
      <c r="E30" s="21" t="s">
        <v>140</v>
      </c>
      <c r="F30" s="21" t="s">
        <v>141</v>
      </c>
      <c r="G30" s="9" t="n">
        <f aca="false">COUNTIFS(Bulgular!$A$2:$A$570,$A30,Bulgular!$F$2:$F$570,"Kritik")</f>
        <v>1</v>
      </c>
      <c r="H30" s="9" t="n">
        <f aca="false">COUNTIFS(Bulgular!$A$2:$A$570,$A30,Bulgular!$F$2:$F$570,"Major")</f>
        <v>1</v>
      </c>
      <c r="I30" s="9" t="n">
        <f aca="false">COUNTIFS(Bulgular!$A$2:$A$570,$A30,Bulgular!$F$2:$F$570,"Minör")</f>
        <v>3</v>
      </c>
      <c r="J30" s="9" t="n">
        <f aca="false">G30*Ayarlar!$B$6+H30*Ayarlar!$B$7+I30*Ayarlar!$B$8</f>
        <v>6.5</v>
      </c>
      <c r="K30" s="6" t="n">
        <f aca="false">INDEX(Ayarlar!$C$11:$C$13,MATCH(D30,Ayarlar!$A$11:$A$13,0))</f>
        <v>30</v>
      </c>
      <c r="L30" s="7" t="n">
        <f aca="false">(K30-J30)/K30*100</f>
        <v>78.3333333333333</v>
      </c>
      <c r="M30" s="6" t="n">
        <f aca="false">INDEX(Ayarlar!$D$11:$D$13,MATCH(D30,Ayarlar!$A$11:$A$13,0))</f>
        <v>85</v>
      </c>
      <c r="N30" s="17" t="str">
        <f aca="false">IF(L30&gt;=M30,"Geçti","Hedef altı")</f>
        <v>Hedef altı</v>
      </c>
    </row>
    <row r="31" customFormat="false" ht="15" hidden="false" customHeight="false" outlineLevel="0" collapsed="false">
      <c r="A31" s="21" t="s">
        <v>146</v>
      </c>
      <c r="B31" s="22" t="n">
        <v>46105</v>
      </c>
      <c r="C31" s="21" t="s">
        <v>93</v>
      </c>
      <c r="D31" s="21" t="s">
        <v>92</v>
      </c>
      <c r="E31" s="21" t="s">
        <v>140</v>
      </c>
      <c r="F31" s="21" t="s">
        <v>141</v>
      </c>
      <c r="G31" s="9" t="n">
        <f aca="false">COUNTIFS(Bulgular!$A$2:$A$570,$A31,Bulgular!$F$2:$F$570,"Kritik")</f>
        <v>0</v>
      </c>
      <c r="H31" s="9" t="n">
        <f aca="false">COUNTIFS(Bulgular!$A$2:$A$570,$A31,Bulgular!$F$2:$F$570,"Major")</f>
        <v>1</v>
      </c>
      <c r="I31" s="9" t="n">
        <f aca="false">COUNTIFS(Bulgular!$A$2:$A$570,$A31,Bulgular!$F$2:$F$570,"Minör")</f>
        <v>1</v>
      </c>
      <c r="J31" s="9" t="n">
        <f aca="false">G31*Ayarlar!$B$6+H31*Ayarlar!$B$7+I31*Ayarlar!$B$8</f>
        <v>2.5</v>
      </c>
      <c r="K31" s="6" t="n">
        <f aca="false">INDEX(Ayarlar!$C$11:$C$13,MATCH(D31,Ayarlar!$A$11:$A$13,0))</f>
        <v>30</v>
      </c>
      <c r="L31" s="7" t="n">
        <f aca="false">(K31-J31)/K31*100</f>
        <v>91.6666666666667</v>
      </c>
      <c r="M31" s="6" t="n">
        <f aca="false">INDEX(Ayarlar!$D$11:$D$13,MATCH(D31,Ayarlar!$A$11:$A$13,0))</f>
        <v>85</v>
      </c>
      <c r="N31" s="17" t="str">
        <f aca="false">IF(L31&gt;=M31,"Geçti","Hedef altı")</f>
        <v>Geçti</v>
      </c>
    </row>
    <row r="32" customFormat="false" ht="15" hidden="false" customHeight="false" outlineLevel="0" collapsed="false">
      <c r="A32" s="21" t="s">
        <v>147</v>
      </c>
      <c r="B32" s="22" t="n">
        <v>46108</v>
      </c>
      <c r="C32" s="21" t="s">
        <v>93</v>
      </c>
      <c r="D32" s="21" t="s">
        <v>94</v>
      </c>
      <c r="E32" s="21" t="s">
        <v>140</v>
      </c>
      <c r="F32" s="21" t="s">
        <v>141</v>
      </c>
      <c r="G32" s="9" t="n">
        <f aca="false">COUNTIFS(Bulgular!$A$2:$A$570,$A32,Bulgular!$F$2:$F$570,"Kritik")</f>
        <v>0</v>
      </c>
      <c r="H32" s="9" t="n">
        <f aca="false">COUNTIFS(Bulgular!$A$2:$A$570,$A32,Bulgular!$F$2:$F$570,"Major")</f>
        <v>2</v>
      </c>
      <c r="I32" s="9" t="n">
        <f aca="false">COUNTIFS(Bulgular!$A$2:$A$570,$A32,Bulgular!$F$2:$F$570,"Minör")</f>
        <v>0</v>
      </c>
      <c r="J32" s="9" t="n">
        <f aca="false">G32*Ayarlar!$B$6+H32*Ayarlar!$B$7+I32*Ayarlar!$B$8</f>
        <v>3</v>
      </c>
      <c r="K32" s="6" t="n">
        <f aca="false">INDEX(Ayarlar!$C$11:$C$13,MATCH(D32,Ayarlar!$A$11:$A$13,0))</f>
        <v>91</v>
      </c>
      <c r="L32" s="7" t="n">
        <f aca="false">(K32-J32)/K32*100</f>
        <v>96.7032967032967</v>
      </c>
      <c r="M32" s="6" t="n">
        <f aca="false">INDEX(Ayarlar!$D$11:$D$13,MATCH(D32,Ayarlar!$A$11:$A$13,0))</f>
        <v>90</v>
      </c>
      <c r="N32" s="17" t="str">
        <f aca="false">IF(L32&gt;=M32,"Geçti","Hedef altı")</f>
        <v>Geçti</v>
      </c>
    </row>
    <row r="33" customFormat="false" ht="15" hidden="false" customHeight="false" outlineLevel="0" collapsed="false">
      <c r="A33" s="21" t="s">
        <v>148</v>
      </c>
      <c r="B33" s="22" t="n">
        <v>46129</v>
      </c>
      <c r="C33" s="21" t="s">
        <v>87</v>
      </c>
      <c r="D33" s="21" t="s">
        <v>94</v>
      </c>
      <c r="E33" s="21" t="s">
        <v>115</v>
      </c>
      <c r="F33" s="21" t="s">
        <v>99</v>
      </c>
      <c r="G33" s="9" t="n">
        <f aca="false">COUNTIFS(Bulgular!$A$2:$A$570,$A33,Bulgular!$F$2:$F$570,"Kritik")</f>
        <v>1</v>
      </c>
      <c r="H33" s="9" t="n">
        <f aca="false">COUNTIFS(Bulgular!$A$2:$A$570,$A33,Bulgular!$F$2:$F$570,"Major")</f>
        <v>3</v>
      </c>
      <c r="I33" s="9" t="n">
        <f aca="false">COUNTIFS(Bulgular!$A$2:$A$570,$A33,Bulgular!$F$2:$F$570,"Minör")</f>
        <v>0</v>
      </c>
      <c r="J33" s="9" t="n">
        <f aca="false">G33*Ayarlar!$B$6+H33*Ayarlar!$B$7+I33*Ayarlar!$B$8</f>
        <v>6.5</v>
      </c>
      <c r="K33" s="6" t="n">
        <f aca="false">INDEX(Ayarlar!$C$11:$C$13,MATCH(D33,Ayarlar!$A$11:$A$13,0))</f>
        <v>91</v>
      </c>
      <c r="L33" s="7" t="n">
        <f aca="false">(K33-J33)/K33*100</f>
        <v>92.8571428571429</v>
      </c>
      <c r="M33" s="6" t="n">
        <f aca="false">INDEX(Ayarlar!$D$11:$D$13,MATCH(D33,Ayarlar!$A$11:$A$13,0))</f>
        <v>90</v>
      </c>
      <c r="N33" s="17" t="str">
        <f aca="false">IF(L33&gt;=M33,"Geçti","Hedef altı")</f>
        <v>Geçti</v>
      </c>
    </row>
    <row r="34" customFormat="false" ht="15" hidden="false" customHeight="false" outlineLevel="0" collapsed="false">
      <c r="A34" s="21" t="s">
        <v>149</v>
      </c>
      <c r="B34" s="22" t="n">
        <v>46131</v>
      </c>
      <c r="C34" s="21" t="s">
        <v>95</v>
      </c>
      <c r="D34" s="21" t="s">
        <v>94</v>
      </c>
      <c r="E34" s="21" t="s">
        <v>115</v>
      </c>
      <c r="F34" s="21" t="s">
        <v>87</v>
      </c>
      <c r="G34" s="9" t="n">
        <f aca="false">COUNTIFS(Bulgular!$A$2:$A$570,$A34,Bulgular!$F$2:$F$570,"Kritik")</f>
        <v>0</v>
      </c>
      <c r="H34" s="9" t="n">
        <f aca="false">COUNTIFS(Bulgular!$A$2:$A$570,$A34,Bulgular!$F$2:$F$570,"Major")</f>
        <v>3</v>
      </c>
      <c r="I34" s="9" t="n">
        <f aca="false">COUNTIFS(Bulgular!$A$2:$A$570,$A34,Bulgular!$F$2:$F$570,"Minör")</f>
        <v>0</v>
      </c>
      <c r="J34" s="9" t="n">
        <f aca="false">G34*Ayarlar!$B$6+H34*Ayarlar!$B$7+I34*Ayarlar!$B$8</f>
        <v>4.5</v>
      </c>
      <c r="K34" s="6" t="n">
        <f aca="false">INDEX(Ayarlar!$C$11:$C$13,MATCH(D34,Ayarlar!$A$11:$A$13,0))</f>
        <v>91</v>
      </c>
      <c r="L34" s="7" t="n">
        <f aca="false">(K34-J34)/K34*100</f>
        <v>95.0549450549451</v>
      </c>
      <c r="M34" s="6" t="n">
        <f aca="false">INDEX(Ayarlar!$D$11:$D$13,MATCH(D34,Ayarlar!$A$11:$A$13,0))</f>
        <v>90</v>
      </c>
      <c r="N34" s="17" t="str">
        <f aca="false">IF(L34&gt;=M34,"Geçti","Hedef altı")</f>
        <v>Geçti</v>
      </c>
    </row>
    <row r="35" customFormat="false" ht="15" hidden="false" customHeight="false" outlineLevel="0" collapsed="false">
      <c r="A35" s="21" t="s">
        <v>150</v>
      </c>
      <c r="B35" s="22" t="n">
        <v>46132</v>
      </c>
      <c r="C35" s="21" t="s">
        <v>89</v>
      </c>
      <c r="D35" s="21" t="s">
        <v>88</v>
      </c>
      <c r="E35" s="21" t="s">
        <v>115</v>
      </c>
      <c r="F35" s="21" t="s">
        <v>98</v>
      </c>
      <c r="G35" s="9" t="n">
        <f aca="false">COUNTIFS(Bulgular!$A$2:$A$570,$A35,Bulgular!$F$2:$F$570,"Kritik")</f>
        <v>1</v>
      </c>
      <c r="H35" s="9" t="n">
        <f aca="false">COUNTIFS(Bulgular!$A$2:$A$570,$A35,Bulgular!$F$2:$F$570,"Major")</f>
        <v>0</v>
      </c>
      <c r="I35" s="9" t="n">
        <f aca="false">COUNTIFS(Bulgular!$A$2:$A$570,$A35,Bulgular!$F$2:$F$570,"Minör")</f>
        <v>0</v>
      </c>
      <c r="J35" s="9" t="n">
        <f aca="false">G35*Ayarlar!$B$6+H35*Ayarlar!$B$7+I35*Ayarlar!$B$8</f>
        <v>2</v>
      </c>
      <c r="K35" s="6" t="n">
        <f aca="false">INDEX(Ayarlar!$C$11:$C$13,MATCH(D35,Ayarlar!$A$11:$A$13,0))</f>
        <v>40</v>
      </c>
      <c r="L35" s="7" t="n">
        <f aca="false">(K35-J35)/K35*100</f>
        <v>95</v>
      </c>
      <c r="M35" s="6" t="n">
        <f aca="false">INDEX(Ayarlar!$D$11:$D$13,MATCH(D35,Ayarlar!$A$11:$A$13,0))</f>
        <v>90</v>
      </c>
      <c r="N35" s="17" t="str">
        <f aca="false">IF(L35&gt;=M35,"Geçti","Hedef altı")</f>
        <v>Geçti</v>
      </c>
    </row>
    <row r="36" customFormat="false" ht="15" hidden="false" customHeight="false" outlineLevel="0" collapsed="false">
      <c r="A36" s="21" t="s">
        <v>151</v>
      </c>
      <c r="B36" s="22" t="n">
        <v>46134</v>
      </c>
      <c r="C36" s="21" t="s">
        <v>87</v>
      </c>
      <c r="D36" s="21" t="s">
        <v>92</v>
      </c>
      <c r="E36" s="21" t="s">
        <v>115</v>
      </c>
      <c r="F36" s="21" t="s">
        <v>93</v>
      </c>
      <c r="G36" s="9" t="n">
        <f aca="false">COUNTIFS(Bulgular!$A$2:$A$570,$A36,Bulgular!$F$2:$F$570,"Kritik")</f>
        <v>0</v>
      </c>
      <c r="H36" s="9" t="n">
        <f aca="false">COUNTIFS(Bulgular!$A$2:$A$570,$A36,Bulgular!$F$2:$F$570,"Major")</f>
        <v>0</v>
      </c>
      <c r="I36" s="9" t="n">
        <f aca="false">COUNTIFS(Bulgular!$A$2:$A$570,$A36,Bulgular!$F$2:$F$570,"Minör")</f>
        <v>0</v>
      </c>
      <c r="J36" s="9" t="n">
        <f aca="false">G36*Ayarlar!$B$6+H36*Ayarlar!$B$7+I36*Ayarlar!$B$8</f>
        <v>0</v>
      </c>
      <c r="K36" s="6" t="n">
        <f aca="false">INDEX(Ayarlar!$C$11:$C$13,MATCH(D36,Ayarlar!$A$11:$A$13,0))</f>
        <v>30</v>
      </c>
      <c r="L36" s="7" t="n">
        <f aca="false">(K36-J36)/K36*100</f>
        <v>100</v>
      </c>
      <c r="M36" s="6" t="n">
        <f aca="false">INDEX(Ayarlar!$D$11:$D$13,MATCH(D36,Ayarlar!$A$11:$A$13,0))</f>
        <v>85</v>
      </c>
      <c r="N36" s="17" t="str">
        <f aca="false">IF(L36&gt;=M36,"Geçti","Hedef altı")</f>
        <v>Geçti</v>
      </c>
    </row>
    <row r="37" customFormat="false" ht="15" hidden="false" customHeight="false" outlineLevel="0" collapsed="false">
      <c r="A37" s="21" t="s">
        <v>152</v>
      </c>
      <c r="B37" s="22" t="n">
        <v>46134</v>
      </c>
      <c r="C37" s="21" t="s">
        <v>89</v>
      </c>
      <c r="D37" s="21" t="s">
        <v>94</v>
      </c>
      <c r="E37" s="21" t="s">
        <v>115</v>
      </c>
      <c r="F37" s="21" t="s">
        <v>87</v>
      </c>
      <c r="G37" s="9" t="n">
        <f aca="false">COUNTIFS(Bulgular!$A$2:$A$570,$A37,Bulgular!$F$2:$F$570,"Kritik")</f>
        <v>1</v>
      </c>
      <c r="H37" s="9" t="n">
        <f aca="false">COUNTIFS(Bulgular!$A$2:$A$570,$A37,Bulgular!$F$2:$F$570,"Major")</f>
        <v>3</v>
      </c>
      <c r="I37" s="9" t="n">
        <f aca="false">COUNTIFS(Bulgular!$A$2:$A$570,$A37,Bulgular!$F$2:$F$570,"Minör")</f>
        <v>0</v>
      </c>
      <c r="J37" s="9" t="n">
        <f aca="false">G37*Ayarlar!$B$6+H37*Ayarlar!$B$7+I37*Ayarlar!$B$8</f>
        <v>6.5</v>
      </c>
      <c r="K37" s="6" t="n">
        <f aca="false">INDEX(Ayarlar!$C$11:$C$13,MATCH(D37,Ayarlar!$A$11:$A$13,0))</f>
        <v>91</v>
      </c>
      <c r="L37" s="7" t="n">
        <f aca="false">(K37-J37)/K37*100</f>
        <v>92.8571428571429</v>
      </c>
      <c r="M37" s="6" t="n">
        <f aca="false">INDEX(Ayarlar!$D$11:$D$13,MATCH(D37,Ayarlar!$A$11:$A$13,0))</f>
        <v>90</v>
      </c>
      <c r="N37" s="17" t="str">
        <f aca="false">IF(L37&gt;=M37,"Geçti","Hedef altı")</f>
        <v>Geçti</v>
      </c>
    </row>
    <row r="38" customFormat="false" ht="15" hidden="false" customHeight="false" outlineLevel="0" collapsed="false">
      <c r="A38" s="21" t="s">
        <v>153</v>
      </c>
      <c r="B38" s="22" t="n">
        <v>46135</v>
      </c>
      <c r="C38" s="21" t="s">
        <v>95</v>
      </c>
      <c r="D38" s="21" t="s">
        <v>92</v>
      </c>
      <c r="E38" s="21" t="s">
        <v>115</v>
      </c>
      <c r="F38" s="21" t="s">
        <v>97</v>
      </c>
      <c r="G38" s="9" t="n">
        <f aca="false">COUNTIFS(Bulgular!$A$2:$A$570,$A38,Bulgular!$F$2:$F$570,"Kritik")</f>
        <v>0</v>
      </c>
      <c r="H38" s="9" t="n">
        <f aca="false">COUNTIFS(Bulgular!$A$2:$A$570,$A38,Bulgular!$F$2:$F$570,"Major")</f>
        <v>1</v>
      </c>
      <c r="I38" s="9" t="n">
        <f aca="false">COUNTIFS(Bulgular!$A$2:$A$570,$A38,Bulgular!$F$2:$F$570,"Minör")</f>
        <v>1</v>
      </c>
      <c r="J38" s="9" t="n">
        <f aca="false">G38*Ayarlar!$B$6+H38*Ayarlar!$B$7+I38*Ayarlar!$B$8</f>
        <v>2.5</v>
      </c>
      <c r="K38" s="6" t="n">
        <f aca="false">INDEX(Ayarlar!$C$11:$C$13,MATCH(D38,Ayarlar!$A$11:$A$13,0))</f>
        <v>30</v>
      </c>
      <c r="L38" s="7" t="n">
        <f aca="false">(K38-J38)/K38*100</f>
        <v>91.6666666666667</v>
      </c>
      <c r="M38" s="6" t="n">
        <f aca="false">INDEX(Ayarlar!$D$11:$D$13,MATCH(D38,Ayarlar!$A$11:$A$13,0))</f>
        <v>85</v>
      </c>
      <c r="N38" s="17" t="str">
        <f aca="false">IF(L38&gt;=M38,"Geçti","Hedef altı")</f>
        <v>Geçti</v>
      </c>
    </row>
    <row r="39" customFormat="false" ht="15" hidden="false" customHeight="false" outlineLevel="0" collapsed="false">
      <c r="A39" s="21" t="s">
        <v>154</v>
      </c>
      <c r="B39" s="22" t="n">
        <v>46137</v>
      </c>
      <c r="C39" s="21" t="s">
        <v>97</v>
      </c>
      <c r="D39" s="21" t="s">
        <v>94</v>
      </c>
      <c r="E39" s="21" t="s">
        <v>115</v>
      </c>
      <c r="F39" s="21" t="s">
        <v>95</v>
      </c>
      <c r="G39" s="9" t="n">
        <f aca="false">COUNTIFS(Bulgular!$A$2:$A$570,$A39,Bulgular!$F$2:$F$570,"Kritik")</f>
        <v>1</v>
      </c>
      <c r="H39" s="9" t="n">
        <f aca="false">COUNTIFS(Bulgular!$A$2:$A$570,$A39,Bulgular!$F$2:$F$570,"Major")</f>
        <v>3</v>
      </c>
      <c r="I39" s="9" t="n">
        <f aca="false">COUNTIFS(Bulgular!$A$2:$A$570,$A39,Bulgular!$F$2:$F$570,"Minör")</f>
        <v>0</v>
      </c>
      <c r="J39" s="9" t="n">
        <f aca="false">G39*Ayarlar!$B$6+H39*Ayarlar!$B$7+I39*Ayarlar!$B$8</f>
        <v>6.5</v>
      </c>
      <c r="K39" s="6" t="n">
        <f aca="false">INDEX(Ayarlar!$C$11:$C$13,MATCH(D39,Ayarlar!$A$11:$A$13,0))</f>
        <v>91</v>
      </c>
      <c r="L39" s="7" t="n">
        <f aca="false">(K39-J39)/K39*100</f>
        <v>92.8571428571429</v>
      </c>
      <c r="M39" s="6" t="n">
        <f aca="false">INDEX(Ayarlar!$D$11:$D$13,MATCH(D39,Ayarlar!$A$11:$A$13,0))</f>
        <v>90</v>
      </c>
      <c r="N39" s="17" t="str">
        <f aca="false">IF(L39&gt;=M39,"Geçti","Hedef altı")</f>
        <v>Geçti</v>
      </c>
    </row>
    <row r="40" customFormat="false" ht="15" hidden="false" customHeight="false" outlineLevel="0" collapsed="false">
      <c r="A40" s="21" t="s">
        <v>155</v>
      </c>
      <c r="B40" s="22" t="n">
        <v>46138</v>
      </c>
      <c r="C40" s="21" t="s">
        <v>87</v>
      </c>
      <c r="D40" s="21" t="s">
        <v>88</v>
      </c>
      <c r="E40" s="21" t="s">
        <v>115</v>
      </c>
      <c r="F40" s="21" t="s">
        <v>89</v>
      </c>
      <c r="G40" s="9" t="n">
        <f aca="false">COUNTIFS(Bulgular!$A$2:$A$570,$A40,Bulgular!$F$2:$F$570,"Kritik")</f>
        <v>0</v>
      </c>
      <c r="H40" s="9" t="n">
        <f aca="false">COUNTIFS(Bulgular!$A$2:$A$570,$A40,Bulgular!$F$2:$F$570,"Major")</f>
        <v>2</v>
      </c>
      <c r="I40" s="9" t="n">
        <f aca="false">COUNTIFS(Bulgular!$A$2:$A$570,$A40,Bulgular!$F$2:$F$570,"Minör")</f>
        <v>0</v>
      </c>
      <c r="J40" s="9" t="n">
        <f aca="false">G40*Ayarlar!$B$6+H40*Ayarlar!$B$7+I40*Ayarlar!$B$8</f>
        <v>3</v>
      </c>
      <c r="K40" s="6" t="n">
        <f aca="false">INDEX(Ayarlar!$C$11:$C$13,MATCH(D40,Ayarlar!$A$11:$A$13,0))</f>
        <v>40</v>
      </c>
      <c r="L40" s="7" t="n">
        <f aca="false">(K40-J40)/K40*100</f>
        <v>92.5</v>
      </c>
      <c r="M40" s="6" t="n">
        <f aca="false">INDEX(Ayarlar!$D$11:$D$13,MATCH(D40,Ayarlar!$A$11:$A$13,0))</f>
        <v>90</v>
      </c>
      <c r="N40" s="17" t="str">
        <f aca="false">IF(L40&gt;=M40,"Geçti","Hedef altı")</f>
        <v>Geçti</v>
      </c>
    </row>
    <row r="41" customFormat="false" ht="15" hidden="false" customHeight="false" outlineLevel="0" collapsed="false">
      <c r="A41" s="21" t="s">
        <v>156</v>
      </c>
      <c r="B41" s="22" t="n">
        <v>46140</v>
      </c>
      <c r="C41" s="21" t="s">
        <v>97</v>
      </c>
      <c r="D41" s="21" t="s">
        <v>92</v>
      </c>
      <c r="E41" s="21" t="s">
        <v>115</v>
      </c>
      <c r="F41" s="21" t="s">
        <v>93</v>
      </c>
      <c r="G41" s="9" t="n">
        <f aca="false">COUNTIFS(Bulgular!$A$2:$A$570,$A41,Bulgular!$F$2:$F$570,"Kritik")</f>
        <v>1</v>
      </c>
      <c r="H41" s="9" t="n">
        <f aca="false">COUNTIFS(Bulgular!$A$2:$A$570,$A41,Bulgular!$F$2:$F$570,"Major")</f>
        <v>1</v>
      </c>
      <c r="I41" s="9" t="n">
        <f aca="false">COUNTIFS(Bulgular!$A$2:$A$570,$A41,Bulgular!$F$2:$F$570,"Minör")</f>
        <v>1</v>
      </c>
      <c r="J41" s="9" t="n">
        <f aca="false">G41*Ayarlar!$B$6+H41*Ayarlar!$B$7+I41*Ayarlar!$B$8</f>
        <v>4.5</v>
      </c>
      <c r="K41" s="6" t="n">
        <f aca="false">INDEX(Ayarlar!$C$11:$C$13,MATCH(D41,Ayarlar!$A$11:$A$13,0))</f>
        <v>30</v>
      </c>
      <c r="L41" s="7" t="n">
        <f aca="false">(K41-J41)/K41*100</f>
        <v>85</v>
      </c>
      <c r="M41" s="6" t="n">
        <f aca="false">INDEX(Ayarlar!$D$11:$D$13,MATCH(D41,Ayarlar!$A$11:$A$13,0))</f>
        <v>85</v>
      </c>
      <c r="N41" s="17" t="str">
        <f aca="false">IF(L41&gt;=M41,"Geçti","Hedef altı")</f>
        <v>Geçti</v>
      </c>
    </row>
    <row r="42" customFormat="false" ht="15" hidden="false" customHeight="false" outlineLevel="0" collapsed="false">
      <c r="A42" s="21" t="s">
        <v>157</v>
      </c>
      <c r="B42" s="22" t="n">
        <v>46142</v>
      </c>
      <c r="C42" s="21" t="s">
        <v>99</v>
      </c>
      <c r="D42" s="21" t="s">
        <v>88</v>
      </c>
      <c r="E42" s="21" t="s">
        <v>115</v>
      </c>
      <c r="F42" s="21" t="s">
        <v>96</v>
      </c>
      <c r="G42" s="9" t="n">
        <f aca="false">COUNTIFS(Bulgular!$A$2:$A$570,$A42,Bulgular!$F$2:$F$570,"Kritik")</f>
        <v>0</v>
      </c>
      <c r="H42" s="9" t="n">
        <f aca="false">COUNTIFS(Bulgular!$A$2:$A$570,$A42,Bulgular!$F$2:$F$570,"Major")</f>
        <v>3</v>
      </c>
      <c r="I42" s="9" t="n">
        <f aca="false">COUNTIFS(Bulgular!$A$2:$A$570,$A42,Bulgular!$F$2:$F$570,"Minör")</f>
        <v>1</v>
      </c>
      <c r="J42" s="9" t="n">
        <f aca="false">G42*Ayarlar!$B$6+H42*Ayarlar!$B$7+I42*Ayarlar!$B$8</f>
        <v>5.5</v>
      </c>
      <c r="K42" s="6" t="n">
        <f aca="false">INDEX(Ayarlar!$C$11:$C$13,MATCH(D42,Ayarlar!$A$11:$A$13,0))</f>
        <v>40</v>
      </c>
      <c r="L42" s="7" t="n">
        <f aca="false">(K42-J42)/K42*100</f>
        <v>86.25</v>
      </c>
      <c r="M42" s="6" t="n">
        <f aca="false">INDEX(Ayarlar!$D$11:$D$13,MATCH(D42,Ayarlar!$A$11:$A$13,0))</f>
        <v>90</v>
      </c>
      <c r="N42" s="17" t="str">
        <f aca="false">IF(L42&gt;=M42,"Geçti","Hedef altı")</f>
        <v>Hedef altı</v>
      </c>
    </row>
    <row r="43" customFormat="false" ht="15" hidden="false" customHeight="false" outlineLevel="0" collapsed="false">
      <c r="A43" s="21" t="s">
        <v>158</v>
      </c>
      <c r="B43" s="22" t="n">
        <v>46142</v>
      </c>
      <c r="C43" s="21" t="s">
        <v>99</v>
      </c>
      <c r="D43" s="21" t="s">
        <v>92</v>
      </c>
      <c r="E43" s="21" t="s">
        <v>115</v>
      </c>
      <c r="F43" s="21" t="s">
        <v>93</v>
      </c>
      <c r="G43" s="9" t="n">
        <f aca="false">COUNTIFS(Bulgular!$A$2:$A$570,$A43,Bulgular!$F$2:$F$570,"Kritik")</f>
        <v>0</v>
      </c>
      <c r="H43" s="9" t="n">
        <f aca="false">COUNTIFS(Bulgular!$A$2:$A$570,$A43,Bulgular!$F$2:$F$570,"Major")</f>
        <v>1</v>
      </c>
      <c r="I43" s="9" t="n">
        <f aca="false">COUNTIFS(Bulgular!$A$2:$A$570,$A43,Bulgular!$F$2:$F$570,"Minör")</f>
        <v>2</v>
      </c>
      <c r="J43" s="9" t="n">
        <f aca="false">G43*Ayarlar!$B$6+H43*Ayarlar!$B$7+I43*Ayarlar!$B$8</f>
        <v>3.5</v>
      </c>
      <c r="K43" s="6" t="n">
        <f aca="false">INDEX(Ayarlar!$C$11:$C$13,MATCH(D43,Ayarlar!$A$11:$A$13,0))</f>
        <v>30</v>
      </c>
      <c r="L43" s="7" t="n">
        <f aca="false">(K43-J43)/K43*100</f>
        <v>88.3333333333333</v>
      </c>
      <c r="M43" s="6" t="n">
        <f aca="false">INDEX(Ayarlar!$D$11:$D$13,MATCH(D43,Ayarlar!$A$11:$A$13,0))</f>
        <v>85</v>
      </c>
      <c r="N43" s="17" t="str">
        <f aca="false">IF(L43&gt;=M43,"Geçti","Hedef altı")</f>
        <v>Geçti</v>
      </c>
    </row>
    <row r="44" customFormat="false" ht="15" hidden="false" customHeight="false" outlineLevel="0" collapsed="false">
      <c r="A44" s="21" t="s">
        <v>159</v>
      </c>
      <c r="B44" s="22" t="n">
        <v>46146</v>
      </c>
      <c r="C44" s="21" t="s">
        <v>99</v>
      </c>
      <c r="D44" s="21" t="s">
        <v>94</v>
      </c>
      <c r="E44" s="21" t="s">
        <v>115</v>
      </c>
      <c r="F44" s="21" t="s">
        <v>87</v>
      </c>
      <c r="G44" s="9" t="n">
        <f aca="false">COUNTIFS(Bulgular!$A$2:$A$570,$A44,Bulgular!$F$2:$F$570,"Kritik")</f>
        <v>0</v>
      </c>
      <c r="H44" s="9" t="n">
        <f aca="false">COUNTIFS(Bulgular!$A$2:$A$570,$A44,Bulgular!$F$2:$F$570,"Major")</f>
        <v>0</v>
      </c>
      <c r="I44" s="9" t="n">
        <f aca="false">COUNTIFS(Bulgular!$A$2:$A$570,$A44,Bulgular!$F$2:$F$570,"Minör")</f>
        <v>0</v>
      </c>
      <c r="J44" s="9" t="n">
        <f aca="false">G44*Ayarlar!$B$6+H44*Ayarlar!$B$7+I44*Ayarlar!$B$8</f>
        <v>0</v>
      </c>
      <c r="K44" s="6" t="n">
        <f aca="false">INDEX(Ayarlar!$C$11:$C$13,MATCH(D44,Ayarlar!$A$11:$A$13,0))</f>
        <v>91</v>
      </c>
      <c r="L44" s="7" t="n">
        <f aca="false">(K44-J44)/K44*100</f>
        <v>100</v>
      </c>
      <c r="M44" s="6" t="n">
        <f aca="false">INDEX(Ayarlar!$D$11:$D$13,MATCH(D44,Ayarlar!$A$11:$A$13,0))</f>
        <v>90</v>
      </c>
      <c r="N44" s="17" t="str">
        <f aca="false">IF(L44&gt;=M44,"Geçti","Hedef altı")</f>
        <v>Geçti</v>
      </c>
    </row>
    <row r="45" customFormat="false" ht="15" hidden="false" customHeight="false" outlineLevel="0" collapsed="false">
      <c r="A45" s="21" t="s">
        <v>160</v>
      </c>
      <c r="B45" s="22" t="n">
        <v>46146</v>
      </c>
      <c r="C45" s="21" t="s">
        <v>97</v>
      </c>
      <c r="D45" s="21" t="s">
        <v>88</v>
      </c>
      <c r="E45" s="21" t="s">
        <v>140</v>
      </c>
      <c r="F45" s="21" t="s">
        <v>141</v>
      </c>
      <c r="G45" s="9" t="n">
        <f aca="false">COUNTIFS(Bulgular!$A$2:$A$570,$A45,Bulgular!$F$2:$F$570,"Kritik")</f>
        <v>1</v>
      </c>
      <c r="H45" s="9" t="n">
        <f aca="false">COUNTIFS(Bulgular!$A$2:$A$570,$A45,Bulgular!$F$2:$F$570,"Major")</f>
        <v>6</v>
      </c>
      <c r="I45" s="9" t="n">
        <f aca="false">COUNTIFS(Bulgular!$A$2:$A$570,$A45,Bulgular!$F$2:$F$570,"Minör")</f>
        <v>0</v>
      </c>
      <c r="J45" s="9" t="n">
        <f aca="false">G45*Ayarlar!$B$6+H45*Ayarlar!$B$7+I45*Ayarlar!$B$8</f>
        <v>11</v>
      </c>
      <c r="K45" s="6" t="n">
        <f aca="false">INDEX(Ayarlar!$C$11:$C$13,MATCH(D45,Ayarlar!$A$11:$A$13,0))</f>
        <v>40</v>
      </c>
      <c r="L45" s="7" t="n">
        <f aca="false">(K45-J45)/K45*100</f>
        <v>72.5</v>
      </c>
      <c r="M45" s="6" t="n">
        <f aca="false">INDEX(Ayarlar!$D$11:$D$13,MATCH(D45,Ayarlar!$A$11:$A$13,0))</f>
        <v>90</v>
      </c>
      <c r="N45" s="17" t="str">
        <f aca="false">IF(L45&gt;=M45,"Geçti","Hedef altı")</f>
        <v>Hedef altı</v>
      </c>
    </row>
    <row r="46" customFormat="false" ht="15" hidden="false" customHeight="false" outlineLevel="0" collapsed="false">
      <c r="A46" s="21" t="s">
        <v>161</v>
      </c>
      <c r="B46" s="22" t="n">
        <v>46153</v>
      </c>
      <c r="C46" s="21" t="s">
        <v>96</v>
      </c>
      <c r="D46" s="21" t="s">
        <v>92</v>
      </c>
      <c r="E46" s="21" t="s">
        <v>140</v>
      </c>
      <c r="F46" s="21" t="s">
        <v>141</v>
      </c>
      <c r="G46" s="9" t="n">
        <f aca="false">COUNTIFS(Bulgular!$A$2:$A$570,$A46,Bulgular!$F$2:$F$570,"Kritik")</f>
        <v>2</v>
      </c>
      <c r="H46" s="9" t="n">
        <f aca="false">COUNTIFS(Bulgular!$A$2:$A$570,$A46,Bulgular!$F$2:$F$570,"Major")</f>
        <v>3</v>
      </c>
      <c r="I46" s="9" t="n">
        <f aca="false">COUNTIFS(Bulgular!$A$2:$A$570,$A46,Bulgular!$F$2:$F$570,"Minör")</f>
        <v>2</v>
      </c>
      <c r="J46" s="9" t="n">
        <f aca="false">G46*Ayarlar!$B$6+H46*Ayarlar!$B$7+I46*Ayarlar!$B$8</f>
        <v>10.5</v>
      </c>
      <c r="K46" s="6" t="n">
        <f aca="false">INDEX(Ayarlar!$C$11:$C$13,MATCH(D46,Ayarlar!$A$11:$A$13,0))</f>
        <v>30</v>
      </c>
      <c r="L46" s="7" t="n">
        <f aca="false">(K46-J46)/K46*100</f>
        <v>65</v>
      </c>
      <c r="M46" s="6" t="n">
        <f aca="false">INDEX(Ayarlar!$D$11:$D$13,MATCH(D46,Ayarlar!$A$11:$A$13,0))</f>
        <v>85</v>
      </c>
      <c r="N46" s="17" t="str">
        <f aca="false">IF(L46&gt;=M46,"Geçti","Hedef altı")</f>
        <v>Hedef altı</v>
      </c>
    </row>
    <row r="47" customFormat="false" ht="15" hidden="false" customHeight="false" outlineLevel="0" collapsed="false">
      <c r="A47" s="21" t="s">
        <v>162</v>
      </c>
      <c r="B47" s="22" t="n">
        <v>46154</v>
      </c>
      <c r="C47" s="21" t="s">
        <v>93</v>
      </c>
      <c r="D47" s="21" t="s">
        <v>88</v>
      </c>
      <c r="E47" s="21" t="s">
        <v>115</v>
      </c>
      <c r="F47" s="21" t="s">
        <v>89</v>
      </c>
      <c r="G47" s="9" t="n">
        <f aca="false">COUNTIFS(Bulgular!$A$2:$A$570,$A47,Bulgular!$F$2:$F$570,"Kritik")</f>
        <v>0</v>
      </c>
      <c r="H47" s="9" t="n">
        <f aca="false">COUNTIFS(Bulgular!$A$2:$A$570,$A47,Bulgular!$F$2:$F$570,"Major")</f>
        <v>0</v>
      </c>
      <c r="I47" s="9" t="n">
        <f aca="false">COUNTIFS(Bulgular!$A$2:$A$570,$A47,Bulgular!$F$2:$F$570,"Minör")</f>
        <v>0</v>
      </c>
      <c r="J47" s="9" t="n">
        <f aca="false">G47*Ayarlar!$B$6+H47*Ayarlar!$B$7+I47*Ayarlar!$B$8</f>
        <v>0</v>
      </c>
      <c r="K47" s="6" t="n">
        <f aca="false">INDEX(Ayarlar!$C$11:$C$13,MATCH(D47,Ayarlar!$A$11:$A$13,0))</f>
        <v>40</v>
      </c>
      <c r="L47" s="7" t="n">
        <f aca="false">(K47-J47)/K47*100</f>
        <v>100</v>
      </c>
      <c r="M47" s="6" t="n">
        <f aca="false">INDEX(Ayarlar!$D$11:$D$13,MATCH(D47,Ayarlar!$A$11:$A$13,0))</f>
        <v>90</v>
      </c>
      <c r="N47" s="17" t="str">
        <f aca="false">IF(L47&gt;=M47,"Geçti","Hedef altı")</f>
        <v>Geçti</v>
      </c>
    </row>
    <row r="48" customFormat="false" ht="15" hidden="false" customHeight="false" outlineLevel="0" collapsed="false">
      <c r="A48" s="21" t="s">
        <v>163</v>
      </c>
      <c r="B48" s="22" t="n">
        <v>46154</v>
      </c>
      <c r="C48" s="21" t="s">
        <v>95</v>
      </c>
      <c r="D48" s="21" t="s">
        <v>88</v>
      </c>
      <c r="E48" s="21" t="s">
        <v>115</v>
      </c>
      <c r="F48" s="21" t="s">
        <v>98</v>
      </c>
      <c r="G48" s="9" t="n">
        <f aca="false">COUNTIFS(Bulgular!$A$2:$A$570,$A48,Bulgular!$F$2:$F$570,"Kritik")</f>
        <v>0</v>
      </c>
      <c r="H48" s="9" t="n">
        <f aca="false">COUNTIFS(Bulgular!$A$2:$A$570,$A48,Bulgular!$F$2:$F$570,"Major")</f>
        <v>4</v>
      </c>
      <c r="I48" s="9" t="n">
        <f aca="false">COUNTIFS(Bulgular!$A$2:$A$570,$A48,Bulgular!$F$2:$F$570,"Minör")</f>
        <v>0</v>
      </c>
      <c r="J48" s="9" t="n">
        <f aca="false">G48*Ayarlar!$B$6+H48*Ayarlar!$B$7+I48*Ayarlar!$B$8</f>
        <v>6</v>
      </c>
      <c r="K48" s="6" t="n">
        <f aca="false">INDEX(Ayarlar!$C$11:$C$13,MATCH(D48,Ayarlar!$A$11:$A$13,0))</f>
        <v>40</v>
      </c>
      <c r="L48" s="7" t="n">
        <f aca="false">(K48-J48)/K48*100</f>
        <v>85</v>
      </c>
      <c r="M48" s="6" t="n">
        <f aca="false">INDEX(Ayarlar!$D$11:$D$13,MATCH(D48,Ayarlar!$A$11:$A$13,0))</f>
        <v>90</v>
      </c>
      <c r="N48" s="17" t="str">
        <f aca="false">IF(L48&gt;=M48,"Geçti","Hedef altı")</f>
        <v>Hedef altı</v>
      </c>
    </row>
    <row r="49" customFormat="false" ht="15" hidden="false" customHeight="false" outlineLevel="0" collapsed="false">
      <c r="A49" s="21" t="s">
        <v>164</v>
      </c>
      <c r="B49" s="22" t="n">
        <v>46156</v>
      </c>
      <c r="C49" s="21" t="s">
        <v>93</v>
      </c>
      <c r="D49" s="21" t="s">
        <v>92</v>
      </c>
      <c r="E49" s="21" t="s">
        <v>115</v>
      </c>
      <c r="F49" s="21" t="s">
        <v>97</v>
      </c>
      <c r="G49" s="9" t="n">
        <f aca="false">COUNTIFS(Bulgular!$A$2:$A$570,$A49,Bulgular!$F$2:$F$570,"Kritik")</f>
        <v>0</v>
      </c>
      <c r="H49" s="9" t="n">
        <f aca="false">COUNTIFS(Bulgular!$A$2:$A$570,$A49,Bulgular!$F$2:$F$570,"Major")</f>
        <v>0</v>
      </c>
      <c r="I49" s="9" t="n">
        <f aca="false">COUNTIFS(Bulgular!$A$2:$A$570,$A49,Bulgular!$F$2:$F$570,"Minör")</f>
        <v>0</v>
      </c>
      <c r="J49" s="9" t="n">
        <f aca="false">G49*Ayarlar!$B$6+H49*Ayarlar!$B$7+I49*Ayarlar!$B$8</f>
        <v>0</v>
      </c>
      <c r="K49" s="6" t="n">
        <f aca="false">INDEX(Ayarlar!$C$11:$C$13,MATCH(D49,Ayarlar!$A$11:$A$13,0))</f>
        <v>30</v>
      </c>
      <c r="L49" s="7" t="n">
        <f aca="false">(K49-J49)/K49*100</f>
        <v>100</v>
      </c>
      <c r="M49" s="6" t="n">
        <f aca="false">INDEX(Ayarlar!$D$11:$D$13,MATCH(D49,Ayarlar!$A$11:$A$13,0))</f>
        <v>85</v>
      </c>
      <c r="N49" s="17" t="str">
        <f aca="false">IF(L49&gt;=M49,"Geçti","Hedef altı")</f>
        <v>Geçti</v>
      </c>
    </row>
    <row r="50" customFormat="false" ht="15" hidden="false" customHeight="false" outlineLevel="0" collapsed="false">
      <c r="A50" s="21" t="s">
        <v>165</v>
      </c>
      <c r="B50" s="22" t="n">
        <v>46157</v>
      </c>
      <c r="C50" s="21" t="s">
        <v>97</v>
      </c>
      <c r="D50" s="21" t="s">
        <v>88</v>
      </c>
      <c r="E50" s="21" t="s">
        <v>115</v>
      </c>
      <c r="F50" s="21" t="s">
        <v>98</v>
      </c>
      <c r="G50" s="9" t="n">
        <f aca="false">COUNTIFS(Bulgular!$A$2:$A$570,$A50,Bulgular!$F$2:$F$570,"Kritik")</f>
        <v>0</v>
      </c>
      <c r="H50" s="9" t="n">
        <f aca="false">COUNTIFS(Bulgular!$A$2:$A$570,$A50,Bulgular!$F$2:$F$570,"Major")</f>
        <v>1</v>
      </c>
      <c r="I50" s="9" t="n">
        <f aca="false">COUNTIFS(Bulgular!$A$2:$A$570,$A50,Bulgular!$F$2:$F$570,"Minör")</f>
        <v>0</v>
      </c>
      <c r="J50" s="9" t="n">
        <f aca="false">G50*Ayarlar!$B$6+H50*Ayarlar!$B$7+I50*Ayarlar!$B$8</f>
        <v>1.5</v>
      </c>
      <c r="K50" s="6" t="n">
        <f aca="false">INDEX(Ayarlar!$C$11:$C$13,MATCH(D50,Ayarlar!$A$11:$A$13,0))</f>
        <v>40</v>
      </c>
      <c r="L50" s="7" t="n">
        <f aca="false">(K50-J50)/K50*100</f>
        <v>96.25</v>
      </c>
      <c r="M50" s="6" t="n">
        <f aca="false">INDEX(Ayarlar!$D$11:$D$13,MATCH(D50,Ayarlar!$A$11:$A$13,0))</f>
        <v>90</v>
      </c>
      <c r="N50" s="17" t="str">
        <f aca="false">IF(L50&gt;=M50,"Geçti","Hedef altı")</f>
        <v>Geçti</v>
      </c>
    </row>
    <row r="51" customFormat="false" ht="15" hidden="false" customHeight="false" outlineLevel="0" collapsed="false">
      <c r="A51" s="21" t="s">
        <v>166</v>
      </c>
      <c r="B51" s="22" t="n">
        <v>46157</v>
      </c>
      <c r="C51" s="21" t="s">
        <v>96</v>
      </c>
      <c r="D51" s="21" t="s">
        <v>94</v>
      </c>
      <c r="E51" s="21" t="s">
        <v>115</v>
      </c>
      <c r="F51" s="21" t="s">
        <v>99</v>
      </c>
      <c r="G51" s="9" t="n">
        <f aca="false">COUNTIFS(Bulgular!$A$2:$A$570,$A51,Bulgular!$F$2:$F$570,"Kritik")</f>
        <v>0</v>
      </c>
      <c r="H51" s="9" t="n">
        <f aca="false">COUNTIFS(Bulgular!$A$2:$A$570,$A51,Bulgular!$F$2:$F$570,"Major")</f>
        <v>1</v>
      </c>
      <c r="I51" s="9" t="n">
        <f aca="false">COUNTIFS(Bulgular!$A$2:$A$570,$A51,Bulgular!$F$2:$F$570,"Minör")</f>
        <v>1</v>
      </c>
      <c r="J51" s="9" t="n">
        <f aca="false">G51*Ayarlar!$B$6+H51*Ayarlar!$B$7+I51*Ayarlar!$B$8</f>
        <v>2.5</v>
      </c>
      <c r="K51" s="6" t="n">
        <f aca="false">INDEX(Ayarlar!$C$11:$C$13,MATCH(D51,Ayarlar!$A$11:$A$13,0))</f>
        <v>91</v>
      </c>
      <c r="L51" s="7" t="n">
        <f aca="false">(K51-J51)/K51*100</f>
        <v>97.2527472527473</v>
      </c>
      <c r="M51" s="6" t="n">
        <f aca="false">INDEX(Ayarlar!$D$11:$D$13,MATCH(D51,Ayarlar!$A$11:$A$13,0))</f>
        <v>90</v>
      </c>
      <c r="N51" s="17" t="str">
        <f aca="false">IF(L51&gt;=M51,"Geçti","Hedef altı")</f>
        <v>Geçti</v>
      </c>
    </row>
    <row r="52" customFormat="false" ht="15" hidden="false" customHeight="false" outlineLevel="0" collapsed="false">
      <c r="A52" s="21" t="s">
        <v>167</v>
      </c>
      <c r="B52" s="22" t="n">
        <v>46158</v>
      </c>
      <c r="C52" s="21" t="s">
        <v>97</v>
      </c>
      <c r="D52" s="21" t="s">
        <v>94</v>
      </c>
      <c r="E52" s="21" t="s">
        <v>140</v>
      </c>
      <c r="F52" s="21" t="s">
        <v>141</v>
      </c>
      <c r="G52" s="9" t="n">
        <f aca="false">COUNTIFS(Bulgular!$A$2:$A$570,$A52,Bulgular!$F$2:$F$570,"Kritik")</f>
        <v>0</v>
      </c>
      <c r="H52" s="9" t="n">
        <f aca="false">COUNTIFS(Bulgular!$A$2:$A$570,$A52,Bulgular!$F$2:$F$570,"Major")</f>
        <v>1</v>
      </c>
      <c r="I52" s="9" t="n">
        <f aca="false">COUNTIFS(Bulgular!$A$2:$A$570,$A52,Bulgular!$F$2:$F$570,"Minör")</f>
        <v>0</v>
      </c>
      <c r="J52" s="9" t="n">
        <f aca="false">G52*Ayarlar!$B$6+H52*Ayarlar!$B$7+I52*Ayarlar!$B$8</f>
        <v>1.5</v>
      </c>
      <c r="K52" s="6" t="n">
        <f aca="false">INDEX(Ayarlar!$C$11:$C$13,MATCH(D52,Ayarlar!$A$11:$A$13,0))</f>
        <v>91</v>
      </c>
      <c r="L52" s="7" t="n">
        <f aca="false">(K52-J52)/K52*100</f>
        <v>98.3516483516484</v>
      </c>
      <c r="M52" s="6" t="n">
        <f aca="false">INDEX(Ayarlar!$D$11:$D$13,MATCH(D52,Ayarlar!$A$11:$A$13,0))</f>
        <v>90</v>
      </c>
      <c r="N52" s="17" t="str">
        <f aca="false">IF(L52&gt;=M52,"Geçti","Hedef altı")</f>
        <v>Geçti</v>
      </c>
    </row>
    <row r="53" customFormat="false" ht="15" hidden="false" customHeight="false" outlineLevel="0" collapsed="false">
      <c r="A53" s="21" t="s">
        <v>168</v>
      </c>
      <c r="B53" s="22" t="n">
        <v>46159</v>
      </c>
      <c r="C53" s="21" t="s">
        <v>96</v>
      </c>
      <c r="D53" s="21" t="s">
        <v>92</v>
      </c>
      <c r="E53" s="21" t="s">
        <v>115</v>
      </c>
      <c r="F53" s="21" t="s">
        <v>97</v>
      </c>
      <c r="G53" s="9" t="n">
        <f aca="false">COUNTIFS(Bulgular!$A$2:$A$570,$A53,Bulgular!$F$2:$F$570,"Kritik")</f>
        <v>2</v>
      </c>
      <c r="H53" s="9" t="n">
        <f aca="false">COUNTIFS(Bulgular!$A$2:$A$570,$A53,Bulgular!$F$2:$F$570,"Major")</f>
        <v>2</v>
      </c>
      <c r="I53" s="9" t="n">
        <f aca="false">COUNTIFS(Bulgular!$A$2:$A$570,$A53,Bulgular!$F$2:$F$570,"Minör")</f>
        <v>2</v>
      </c>
      <c r="J53" s="9" t="n">
        <f aca="false">G53*Ayarlar!$B$6+H53*Ayarlar!$B$7+I53*Ayarlar!$B$8</f>
        <v>9</v>
      </c>
      <c r="K53" s="6" t="n">
        <f aca="false">INDEX(Ayarlar!$C$11:$C$13,MATCH(D53,Ayarlar!$A$11:$A$13,0))</f>
        <v>30</v>
      </c>
      <c r="L53" s="7" t="n">
        <f aca="false">(K53-J53)/K53*100</f>
        <v>70</v>
      </c>
      <c r="M53" s="6" t="n">
        <f aca="false">INDEX(Ayarlar!$D$11:$D$13,MATCH(D53,Ayarlar!$A$11:$A$13,0))</f>
        <v>85</v>
      </c>
      <c r="N53" s="17" t="str">
        <f aca="false">IF(L53&gt;=M53,"Geçti","Hedef altı")</f>
        <v>Hedef altı</v>
      </c>
    </row>
    <row r="54" customFormat="false" ht="15" hidden="false" customHeight="false" outlineLevel="0" collapsed="false">
      <c r="A54" s="21" t="s">
        <v>169</v>
      </c>
      <c r="B54" s="22" t="n">
        <v>46159</v>
      </c>
      <c r="C54" s="21" t="s">
        <v>89</v>
      </c>
      <c r="D54" s="21" t="s">
        <v>88</v>
      </c>
      <c r="E54" s="21" t="s">
        <v>140</v>
      </c>
      <c r="F54" s="21" t="s">
        <v>141</v>
      </c>
      <c r="G54" s="9" t="n">
        <f aca="false">COUNTIFS(Bulgular!$A$2:$A$570,$A54,Bulgular!$F$2:$F$570,"Kritik")</f>
        <v>0</v>
      </c>
      <c r="H54" s="9" t="n">
        <f aca="false">COUNTIFS(Bulgular!$A$2:$A$570,$A54,Bulgular!$F$2:$F$570,"Major")</f>
        <v>1</v>
      </c>
      <c r="I54" s="9" t="n">
        <f aca="false">COUNTIFS(Bulgular!$A$2:$A$570,$A54,Bulgular!$F$2:$F$570,"Minör")</f>
        <v>0</v>
      </c>
      <c r="J54" s="9" t="n">
        <f aca="false">G54*Ayarlar!$B$6+H54*Ayarlar!$B$7+I54*Ayarlar!$B$8</f>
        <v>1.5</v>
      </c>
      <c r="K54" s="6" t="n">
        <f aca="false">INDEX(Ayarlar!$C$11:$C$13,MATCH(D54,Ayarlar!$A$11:$A$13,0))</f>
        <v>40</v>
      </c>
      <c r="L54" s="7" t="n">
        <f aca="false">(K54-J54)/K54*100</f>
        <v>96.25</v>
      </c>
      <c r="M54" s="6" t="n">
        <f aca="false">INDEX(Ayarlar!$D$11:$D$13,MATCH(D54,Ayarlar!$A$11:$A$13,0))</f>
        <v>90</v>
      </c>
      <c r="N54" s="17" t="str">
        <f aca="false">IF(L54&gt;=M54,"Geçti","Hedef altı")</f>
        <v>Geçti</v>
      </c>
    </row>
    <row r="55" customFormat="false" ht="15" hidden="false" customHeight="false" outlineLevel="0" collapsed="false">
      <c r="A55" s="21" t="s">
        <v>170</v>
      </c>
      <c r="B55" s="22" t="n">
        <v>46161</v>
      </c>
      <c r="C55" s="21" t="s">
        <v>96</v>
      </c>
      <c r="D55" s="21" t="s">
        <v>88</v>
      </c>
      <c r="E55" s="21" t="s">
        <v>115</v>
      </c>
      <c r="F55" s="21" t="s">
        <v>98</v>
      </c>
      <c r="G55" s="9" t="n">
        <f aca="false">COUNTIFS(Bulgular!$A$2:$A$570,$A55,Bulgular!$F$2:$F$570,"Kritik")</f>
        <v>0</v>
      </c>
      <c r="H55" s="9" t="n">
        <f aca="false">COUNTIFS(Bulgular!$A$2:$A$570,$A55,Bulgular!$F$2:$F$570,"Major")</f>
        <v>3</v>
      </c>
      <c r="I55" s="9" t="n">
        <f aca="false">COUNTIFS(Bulgular!$A$2:$A$570,$A55,Bulgular!$F$2:$F$570,"Minör")</f>
        <v>2</v>
      </c>
      <c r="J55" s="9" t="n">
        <f aca="false">G55*Ayarlar!$B$6+H55*Ayarlar!$B$7+I55*Ayarlar!$B$8</f>
        <v>6.5</v>
      </c>
      <c r="K55" s="6" t="n">
        <f aca="false">INDEX(Ayarlar!$C$11:$C$13,MATCH(D55,Ayarlar!$A$11:$A$13,0))</f>
        <v>40</v>
      </c>
      <c r="L55" s="7" t="n">
        <f aca="false">(K55-J55)/K55*100</f>
        <v>83.75</v>
      </c>
      <c r="M55" s="6" t="n">
        <f aca="false">INDEX(Ayarlar!$D$11:$D$13,MATCH(D55,Ayarlar!$A$11:$A$13,0))</f>
        <v>90</v>
      </c>
      <c r="N55" s="17" t="str">
        <f aca="false">IF(L55&gt;=M55,"Geçti","Hedef altı")</f>
        <v>Hedef altı</v>
      </c>
    </row>
    <row r="56" customFormat="false" ht="15" hidden="false" customHeight="false" outlineLevel="0" collapsed="false">
      <c r="A56" s="21" t="s">
        <v>171</v>
      </c>
      <c r="B56" s="22" t="n">
        <v>46163</v>
      </c>
      <c r="C56" s="21" t="s">
        <v>93</v>
      </c>
      <c r="D56" s="21" t="s">
        <v>94</v>
      </c>
      <c r="E56" s="21" t="s">
        <v>115</v>
      </c>
      <c r="F56" s="21" t="s">
        <v>87</v>
      </c>
      <c r="G56" s="9" t="n">
        <f aca="false">COUNTIFS(Bulgular!$A$2:$A$570,$A56,Bulgular!$F$2:$F$570,"Kritik")</f>
        <v>0</v>
      </c>
      <c r="H56" s="9" t="n">
        <f aca="false">COUNTIFS(Bulgular!$A$2:$A$570,$A56,Bulgular!$F$2:$F$570,"Major")</f>
        <v>0</v>
      </c>
      <c r="I56" s="9" t="n">
        <f aca="false">COUNTIFS(Bulgular!$A$2:$A$570,$A56,Bulgular!$F$2:$F$570,"Minör")</f>
        <v>0</v>
      </c>
      <c r="J56" s="9" t="n">
        <f aca="false">G56*Ayarlar!$B$6+H56*Ayarlar!$B$7+I56*Ayarlar!$B$8</f>
        <v>0</v>
      </c>
      <c r="K56" s="6" t="n">
        <f aca="false">INDEX(Ayarlar!$C$11:$C$13,MATCH(D56,Ayarlar!$A$11:$A$13,0))</f>
        <v>91</v>
      </c>
      <c r="L56" s="7" t="n">
        <f aca="false">(K56-J56)/K56*100</f>
        <v>100</v>
      </c>
      <c r="M56" s="6" t="n">
        <f aca="false">INDEX(Ayarlar!$D$11:$D$13,MATCH(D56,Ayarlar!$A$11:$A$13,0))</f>
        <v>90</v>
      </c>
      <c r="N56" s="17" t="str">
        <f aca="false">IF(L56&gt;=M56,"Geçti","Hedef altı")</f>
        <v>Geçti</v>
      </c>
    </row>
    <row r="57" customFormat="false" ht="15" hidden="false" customHeight="false" outlineLevel="0" collapsed="false">
      <c r="A57" s="21" t="s">
        <v>172</v>
      </c>
      <c r="B57" s="22" t="n">
        <v>46170</v>
      </c>
      <c r="C57" s="21" t="s">
        <v>95</v>
      </c>
      <c r="D57" s="21" t="s">
        <v>88</v>
      </c>
      <c r="E57" s="21" t="s">
        <v>140</v>
      </c>
      <c r="F57" s="21" t="s">
        <v>141</v>
      </c>
      <c r="G57" s="9" t="n">
        <f aca="false">COUNTIFS(Bulgular!$A$2:$A$570,$A57,Bulgular!$F$2:$F$570,"Kritik")</f>
        <v>0</v>
      </c>
      <c r="H57" s="9" t="n">
        <f aca="false">COUNTIFS(Bulgular!$A$2:$A$570,$A57,Bulgular!$F$2:$F$570,"Major")</f>
        <v>1</v>
      </c>
      <c r="I57" s="9" t="n">
        <f aca="false">COUNTIFS(Bulgular!$A$2:$A$570,$A57,Bulgular!$F$2:$F$570,"Minör")</f>
        <v>0</v>
      </c>
      <c r="J57" s="9" t="n">
        <f aca="false">G57*Ayarlar!$B$6+H57*Ayarlar!$B$7+I57*Ayarlar!$B$8</f>
        <v>1.5</v>
      </c>
      <c r="K57" s="6" t="n">
        <f aca="false">INDEX(Ayarlar!$C$11:$C$13,MATCH(D57,Ayarlar!$A$11:$A$13,0))</f>
        <v>40</v>
      </c>
      <c r="L57" s="7" t="n">
        <f aca="false">(K57-J57)/K57*100</f>
        <v>96.25</v>
      </c>
      <c r="M57" s="6" t="n">
        <f aca="false">INDEX(Ayarlar!$D$11:$D$13,MATCH(D57,Ayarlar!$A$11:$A$13,0))</f>
        <v>90</v>
      </c>
      <c r="N57" s="17" t="str">
        <f aca="false">IF(L57&gt;=M57,"Geçti","Hedef altı")</f>
        <v>Geçti</v>
      </c>
    </row>
    <row r="58" customFormat="false" ht="15" hidden="false" customHeight="false" outlineLevel="0" collapsed="false">
      <c r="A58" s="21" t="s">
        <v>173</v>
      </c>
      <c r="B58" s="22" t="n">
        <v>46171</v>
      </c>
      <c r="C58" s="21" t="s">
        <v>89</v>
      </c>
      <c r="D58" s="21" t="s">
        <v>92</v>
      </c>
      <c r="E58" s="21" t="s">
        <v>115</v>
      </c>
      <c r="F58" s="21" t="s">
        <v>93</v>
      </c>
      <c r="G58" s="9" t="n">
        <f aca="false">COUNTIFS(Bulgular!$A$2:$A$570,$A58,Bulgular!$F$2:$F$570,"Kritik")</f>
        <v>2</v>
      </c>
      <c r="H58" s="9" t="n">
        <f aca="false">COUNTIFS(Bulgular!$A$2:$A$570,$A58,Bulgular!$F$2:$F$570,"Major")</f>
        <v>1</v>
      </c>
      <c r="I58" s="9" t="n">
        <f aca="false">COUNTIFS(Bulgular!$A$2:$A$570,$A58,Bulgular!$F$2:$F$570,"Minör")</f>
        <v>0</v>
      </c>
      <c r="J58" s="9" t="n">
        <f aca="false">G58*Ayarlar!$B$6+H58*Ayarlar!$B$7+I58*Ayarlar!$B$8</f>
        <v>5.5</v>
      </c>
      <c r="K58" s="6" t="n">
        <f aca="false">INDEX(Ayarlar!$C$11:$C$13,MATCH(D58,Ayarlar!$A$11:$A$13,0))</f>
        <v>30</v>
      </c>
      <c r="L58" s="7" t="n">
        <f aca="false">(K58-J58)/K58*100</f>
        <v>81.6666666666667</v>
      </c>
      <c r="M58" s="6" t="n">
        <f aca="false">INDEX(Ayarlar!$D$11:$D$13,MATCH(D58,Ayarlar!$A$11:$A$13,0))</f>
        <v>85</v>
      </c>
      <c r="N58" s="17" t="str">
        <f aca="false">IF(L58&gt;=M58,"Geçti","Hedef altı")</f>
        <v>Hedef altı</v>
      </c>
    </row>
    <row r="59" customFormat="false" ht="15" hidden="false" customHeight="false" outlineLevel="0" collapsed="false">
      <c r="A59" s="21" t="s">
        <v>174</v>
      </c>
      <c r="B59" s="22" t="n">
        <v>46171</v>
      </c>
      <c r="C59" s="21" t="s">
        <v>98</v>
      </c>
      <c r="D59" s="21" t="s">
        <v>94</v>
      </c>
      <c r="E59" s="21" t="s">
        <v>115</v>
      </c>
      <c r="F59" s="21" t="s">
        <v>95</v>
      </c>
      <c r="G59" s="9" t="n">
        <f aca="false">COUNTIFS(Bulgular!$A$2:$A$570,$A59,Bulgular!$F$2:$F$570,"Kritik")</f>
        <v>0</v>
      </c>
      <c r="H59" s="9" t="n">
        <f aca="false">COUNTIFS(Bulgular!$A$2:$A$570,$A59,Bulgular!$F$2:$F$570,"Major")</f>
        <v>1</v>
      </c>
      <c r="I59" s="9" t="n">
        <f aca="false">COUNTIFS(Bulgular!$A$2:$A$570,$A59,Bulgular!$F$2:$F$570,"Minör")</f>
        <v>0</v>
      </c>
      <c r="J59" s="9" t="n">
        <f aca="false">G59*Ayarlar!$B$6+H59*Ayarlar!$B$7+I59*Ayarlar!$B$8</f>
        <v>1.5</v>
      </c>
      <c r="K59" s="6" t="n">
        <f aca="false">INDEX(Ayarlar!$C$11:$C$13,MATCH(D59,Ayarlar!$A$11:$A$13,0))</f>
        <v>91</v>
      </c>
      <c r="L59" s="7" t="n">
        <f aca="false">(K59-J59)/K59*100</f>
        <v>98.3516483516484</v>
      </c>
      <c r="M59" s="6" t="n">
        <f aca="false">INDEX(Ayarlar!$D$11:$D$13,MATCH(D59,Ayarlar!$A$11:$A$13,0))</f>
        <v>90</v>
      </c>
      <c r="N59" s="17" t="str">
        <f aca="false">IF(L59&gt;=M59,"Geçti","Hedef altı")</f>
        <v>Geçti</v>
      </c>
    </row>
    <row r="60" customFormat="false" ht="15" hidden="false" customHeight="false" outlineLevel="0" collapsed="false">
      <c r="A60" s="21" t="s">
        <v>175</v>
      </c>
      <c r="B60" s="22" t="n">
        <v>46172</v>
      </c>
      <c r="C60" s="21" t="s">
        <v>98</v>
      </c>
      <c r="D60" s="21" t="s">
        <v>88</v>
      </c>
      <c r="E60" s="21" t="s">
        <v>115</v>
      </c>
      <c r="F60" s="21" t="s">
        <v>96</v>
      </c>
      <c r="G60" s="9" t="n">
        <f aca="false">COUNTIFS(Bulgular!$A$2:$A$570,$A60,Bulgular!$F$2:$F$570,"Kritik")</f>
        <v>0</v>
      </c>
      <c r="H60" s="9" t="n">
        <f aca="false">COUNTIFS(Bulgular!$A$2:$A$570,$A60,Bulgular!$F$2:$F$570,"Major")</f>
        <v>1</v>
      </c>
      <c r="I60" s="9" t="n">
        <f aca="false">COUNTIFS(Bulgular!$A$2:$A$570,$A60,Bulgular!$F$2:$F$570,"Minör")</f>
        <v>0</v>
      </c>
      <c r="J60" s="9" t="n">
        <f aca="false">G60*Ayarlar!$B$6+H60*Ayarlar!$B$7+I60*Ayarlar!$B$8</f>
        <v>1.5</v>
      </c>
      <c r="K60" s="6" t="n">
        <f aca="false">INDEX(Ayarlar!$C$11:$C$13,MATCH(D60,Ayarlar!$A$11:$A$13,0))</f>
        <v>40</v>
      </c>
      <c r="L60" s="7" t="n">
        <f aca="false">(K60-J60)/K60*100</f>
        <v>96.25</v>
      </c>
      <c r="M60" s="6" t="n">
        <f aca="false">INDEX(Ayarlar!$D$11:$D$13,MATCH(D60,Ayarlar!$A$11:$A$13,0))</f>
        <v>90</v>
      </c>
      <c r="N60" s="17" t="str">
        <f aca="false">IF(L60&gt;=M60,"Geçti","Hedef altı")</f>
        <v>Geçti</v>
      </c>
    </row>
    <row r="61" customFormat="false" ht="15" hidden="false" customHeight="false" outlineLevel="0" collapsed="false">
      <c r="A61" s="21" t="s">
        <v>176</v>
      </c>
      <c r="B61" s="22" t="n">
        <v>46172</v>
      </c>
      <c r="C61" s="21" t="s">
        <v>98</v>
      </c>
      <c r="D61" s="21" t="s">
        <v>92</v>
      </c>
      <c r="E61" s="21" t="s">
        <v>115</v>
      </c>
      <c r="F61" s="21" t="s">
        <v>97</v>
      </c>
      <c r="G61" s="9" t="n">
        <f aca="false">COUNTIFS(Bulgular!$A$2:$A$570,$A61,Bulgular!$F$2:$F$570,"Kritik")</f>
        <v>1</v>
      </c>
      <c r="H61" s="9" t="n">
        <f aca="false">COUNTIFS(Bulgular!$A$2:$A$570,$A61,Bulgular!$F$2:$F$570,"Major")</f>
        <v>0</v>
      </c>
      <c r="I61" s="9" t="n">
        <f aca="false">COUNTIFS(Bulgular!$A$2:$A$570,$A61,Bulgular!$F$2:$F$570,"Minör")</f>
        <v>0</v>
      </c>
      <c r="J61" s="9" t="n">
        <f aca="false">G61*Ayarlar!$B$6+H61*Ayarlar!$B$7+I61*Ayarlar!$B$8</f>
        <v>2</v>
      </c>
      <c r="K61" s="6" t="n">
        <f aca="false">INDEX(Ayarlar!$C$11:$C$13,MATCH(D61,Ayarlar!$A$11:$A$13,0))</f>
        <v>30</v>
      </c>
      <c r="L61" s="7" t="n">
        <f aca="false">(K61-J61)/K61*100</f>
        <v>93.3333333333333</v>
      </c>
      <c r="M61" s="6" t="n">
        <f aca="false">INDEX(Ayarlar!$D$11:$D$13,MATCH(D61,Ayarlar!$A$11:$A$13,0))</f>
        <v>85</v>
      </c>
      <c r="N61" s="17" t="str">
        <f aca="false">IF(L61&gt;=M61,"Geçti","Hedef altı")</f>
        <v>Geçti</v>
      </c>
    </row>
    <row r="62" customFormat="false" ht="15" hidden="false" customHeight="false" outlineLevel="0" collapsed="false">
      <c r="A62" s="21" t="s">
        <v>177</v>
      </c>
      <c r="B62" s="22" t="n">
        <v>46176</v>
      </c>
      <c r="C62" s="21" t="s">
        <v>98</v>
      </c>
      <c r="D62" s="21" t="s">
        <v>92</v>
      </c>
      <c r="E62" s="21" t="s">
        <v>140</v>
      </c>
      <c r="F62" s="21" t="s">
        <v>141</v>
      </c>
      <c r="G62" s="9" t="n">
        <f aca="false">COUNTIFS(Bulgular!$A$2:$A$570,$A62,Bulgular!$F$2:$F$570,"Kritik")</f>
        <v>2</v>
      </c>
      <c r="H62" s="9" t="n">
        <f aca="false">COUNTIFS(Bulgular!$A$2:$A$570,$A62,Bulgular!$F$2:$F$570,"Major")</f>
        <v>1</v>
      </c>
      <c r="I62" s="9" t="n">
        <f aca="false">COUNTIFS(Bulgular!$A$2:$A$570,$A62,Bulgular!$F$2:$F$570,"Minör")</f>
        <v>1</v>
      </c>
      <c r="J62" s="9" t="n">
        <f aca="false">G62*Ayarlar!$B$6+H62*Ayarlar!$B$7+I62*Ayarlar!$B$8</f>
        <v>6.5</v>
      </c>
      <c r="K62" s="6" t="n">
        <f aca="false">INDEX(Ayarlar!$C$11:$C$13,MATCH(D62,Ayarlar!$A$11:$A$13,0))</f>
        <v>30</v>
      </c>
      <c r="L62" s="7" t="n">
        <f aca="false">(K62-J62)/K62*100</f>
        <v>78.3333333333333</v>
      </c>
      <c r="M62" s="6" t="n">
        <f aca="false">INDEX(Ayarlar!$D$11:$D$13,MATCH(D62,Ayarlar!$A$11:$A$13,0))</f>
        <v>85</v>
      </c>
      <c r="N62" s="17" t="str">
        <f aca="false">IF(L62&gt;=M62,"Geçti","Hedef altı")</f>
        <v>Hedef altı</v>
      </c>
    </row>
    <row r="63" customFormat="false" ht="15" hidden="false" customHeight="false" outlineLevel="0" collapsed="false">
      <c r="A63" s="21" t="s">
        <v>178</v>
      </c>
      <c r="B63" s="22" t="n">
        <v>46180</v>
      </c>
      <c r="C63" s="21" t="s">
        <v>89</v>
      </c>
      <c r="D63" s="21" t="s">
        <v>92</v>
      </c>
      <c r="E63" s="21" t="s">
        <v>140</v>
      </c>
      <c r="F63" s="21" t="s">
        <v>141</v>
      </c>
      <c r="G63" s="9" t="n">
        <f aca="false">COUNTIFS(Bulgular!$A$2:$A$570,$A63,Bulgular!$F$2:$F$570,"Kritik")</f>
        <v>1</v>
      </c>
      <c r="H63" s="9" t="n">
        <f aca="false">COUNTIFS(Bulgular!$A$2:$A$570,$A63,Bulgular!$F$2:$F$570,"Major")</f>
        <v>1</v>
      </c>
      <c r="I63" s="9" t="n">
        <f aca="false">COUNTIFS(Bulgular!$A$2:$A$570,$A63,Bulgular!$F$2:$F$570,"Minör")</f>
        <v>0</v>
      </c>
      <c r="J63" s="9" t="n">
        <f aca="false">G63*Ayarlar!$B$6+H63*Ayarlar!$B$7+I63*Ayarlar!$B$8</f>
        <v>3.5</v>
      </c>
      <c r="K63" s="6" t="n">
        <f aca="false">INDEX(Ayarlar!$C$11:$C$13,MATCH(D63,Ayarlar!$A$11:$A$13,0))</f>
        <v>30</v>
      </c>
      <c r="L63" s="7" t="n">
        <f aca="false">(K63-J63)/K63*100</f>
        <v>88.3333333333333</v>
      </c>
      <c r="M63" s="6" t="n">
        <f aca="false">INDEX(Ayarlar!$D$11:$D$13,MATCH(D63,Ayarlar!$A$11:$A$13,0))</f>
        <v>85</v>
      </c>
      <c r="N63" s="17" t="str">
        <f aca="false">IF(L63&gt;=M63,"Geçti","Hedef altı")</f>
        <v>Geçti</v>
      </c>
    </row>
    <row r="64" customFormat="false" ht="15" hidden="false" customHeight="false" outlineLevel="0" collapsed="false">
      <c r="A64" s="21" t="s">
        <v>179</v>
      </c>
      <c r="B64" s="22" t="n">
        <v>46183</v>
      </c>
      <c r="C64" s="21" t="s">
        <v>87</v>
      </c>
      <c r="D64" s="21" t="s">
        <v>88</v>
      </c>
      <c r="E64" s="21" t="s">
        <v>140</v>
      </c>
      <c r="F64" s="21" t="s">
        <v>141</v>
      </c>
      <c r="G64" s="9" t="n">
        <f aca="false">COUNTIFS(Bulgular!$A$2:$A$570,$A64,Bulgular!$F$2:$F$570,"Kritik")</f>
        <v>0</v>
      </c>
      <c r="H64" s="9" t="n">
        <f aca="false">COUNTIFS(Bulgular!$A$2:$A$570,$A64,Bulgular!$F$2:$F$570,"Major")</f>
        <v>3</v>
      </c>
      <c r="I64" s="9" t="n">
        <f aca="false">COUNTIFS(Bulgular!$A$2:$A$570,$A64,Bulgular!$F$2:$F$570,"Minör")</f>
        <v>1</v>
      </c>
      <c r="J64" s="9" t="n">
        <f aca="false">G64*Ayarlar!$B$6+H64*Ayarlar!$B$7+I64*Ayarlar!$B$8</f>
        <v>5.5</v>
      </c>
      <c r="K64" s="6" t="n">
        <f aca="false">INDEX(Ayarlar!$C$11:$C$13,MATCH(D64,Ayarlar!$A$11:$A$13,0))</f>
        <v>40</v>
      </c>
      <c r="L64" s="7" t="n">
        <f aca="false">(K64-J64)/K64*100</f>
        <v>86.25</v>
      </c>
      <c r="M64" s="6" t="n">
        <f aca="false">INDEX(Ayarlar!$D$11:$D$13,MATCH(D64,Ayarlar!$A$11:$A$13,0))</f>
        <v>90</v>
      </c>
      <c r="N64" s="17" t="str">
        <f aca="false">IF(L64&gt;=M64,"Geçti","Hedef altı")</f>
        <v>Hedef altı</v>
      </c>
    </row>
    <row r="65" customFormat="false" ht="15" hidden="false" customHeight="false" outlineLevel="0" collapsed="false">
      <c r="A65" s="21" t="s">
        <v>180</v>
      </c>
      <c r="B65" s="22" t="n">
        <v>46183</v>
      </c>
      <c r="C65" s="21" t="s">
        <v>98</v>
      </c>
      <c r="D65" s="21" t="s">
        <v>94</v>
      </c>
      <c r="E65" s="21" t="s">
        <v>140</v>
      </c>
      <c r="F65" s="21" t="s">
        <v>141</v>
      </c>
      <c r="G65" s="9" t="n">
        <f aca="false">COUNTIFS(Bulgular!$A$2:$A$570,$A65,Bulgular!$F$2:$F$570,"Kritik")</f>
        <v>1</v>
      </c>
      <c r="H65" s="9" t="n">
        <f aca="false">COUNTIFS(Bulgular!$A$2:$A$570,$A65,Bulgular!$F$2:$F$570,"Major")</f>
        <v>4</v>
      </c>
      <c r="I65" s="9" t="n">
        <f aca="false">COUNTIFS(Bulgular!$A$2:$A$570,$A65,Bulgular!$F$2:$F$570,"Minör")</f>
        <v>0</v>
      </c>
      <c r="J65" s="9" t="n">
        <f aca="false">G65*Ayarlar!$B$6+H65*Ayarlar!$B$7+I65*Ayarlar!$B$8</f>
        <v>8</v>
      </c>
      <c r="K65" s="6" t="n">
        <f aca="false">INDEX(Ayarlar!$C$11:$C$13,MATCH(D65,Ayarlar!$A$11:$A$13,0))</f>
        <v>91</v>
      </c>
      <c r="L65" s="7" t="n">
        <f aca="false">(K65-J65)/K65*100</f>
        <v>91.2087912087912</v>
      </c>
      <c r="M65" s="6" t="n">
        <f aca="false">INDEX(Ayarlar!$D$11:$D$13,MATCH(D65,Ayarlar!$A$11:$A$13,0))</f>
        <v>90</v>
      </c>
      <c r="N65" s="17" t="str">
        <f aca="false">IF(L65&gt;=M65,"Geçti","Hedef altı")</f>
        <v>Geçti</v>
      </c>
    </row>
    <row r="66" customFormat="false" ht="15" hidden="false" customHeight="false" outlineLevel="0" collapsed="false">
      <c r="A66" s="21" t="s">
        <v>181</v>
      </c>
      <c r="B66" s="22" t="n">
        <v>46184</v>
      </c>
      <c r="C66" s="21" t="s">
        <v>93</v>
      </c>
      <c r="D66" s="21" t="s">
        <v>88</v>
      </c>
      <c r="E66" s="21" t="s">
        <v>140</v>
      </c>
      <c r="F66" s="21" t="s">
        <v>141</v>
      </c>
      <c r="G66" s="9" t="n">
        <f aca="false">COUNTIFS(Bulgular!$A$2:$A$570,$A66,Bulgular!$F$2:$F$570,"Kritik")</f>
        <v>0</v>
      </c>
      <c r="H66" s="9" t="n">
        <f aca="false">COUNTIFS(Bulgular!$A$2:$A$570,$A66,Bulgular!$F$2:$F$570,"Major")</f>
        <v>1</v>
      </c>
      <c r="I66" s="9" t="n">
        <f aca="false">COUNTIFS(Bulgular!$A$2:$A$570,$A66,Bulgular!$F$2:$F$570,"Minör")</f>
        <v>0</v>
      </c>
      <c r="J66" s="9" t="n">
        <f aca="false">G66*Ayarlar!$B$6+H66*Ayarlar!$B$7+I66*Ayarlar!$B$8</f>
        <v>1.5</v>
      </c>
      <c r="K66" s="6" t="n">
        <f aca="false">INDEX(Ayarlar!$C$11:$C$13,MATCH(D66,Ayarlar!$A$11:$A$13,0))</f>
        <v>40</v>
      </c>
      <c r="L66" s="7" t="n">
        <f aca="false">(K66-J66)/K66*100</f>
        <v>96.25</v>
      </c>
      <c r="M66" s="6" t="n">
        <f aca="false">INDEX(Ayarlar!$D$11:$D$13,MATCH(D66,Ayarlar!$A$11:$A$13,0))</f>
        <v>90</v>
      </c>
      <c r="N66" s="17" t="str">
        <f aca="false">IF(L66&gt;=M66,"Geçti","Hedef altı")</f>
        <v>Geçti</v>
      </c>
    </row>
    <row r="67" customFormat="false" ht="15" hidden="false" customHeight="false" outlineLevel="0" collapsed="false">
      <c r="A67" s="21" t="s">
        <v>182</v>
      </c>
      <c r="B67" s="22" t="n">
        <v>46190</v>
      </c>
      <c r="C67" s="21" t="s">
        <v>97</v>
      </c>
      <c r="D67" s="21" t="s">
        <v>92</v>
      </c>
      <c r="E67" s="21" t="s">
        <v>140</v>
      </c>
      <c r="F67" s="21" t="s">
        <v>141</v>
      </c>
      <c r="G67" s="9" t="n">
        <f aca="false">COUNTIFS(Bulgular!$A$2:$A$570,$A67,Bulgular!$F$2:$F$570,"Kritik")</f>
        <v>0</v>
      </c>
      <c r="H67" s="9" t="n">
        <f aca="false">COUNTIFS(Bulgular!$A$2:$A$570,$A67,Bulgular!$F$2:$F$570,"Major")</f>
        <v>2</v>
      </c>
      <c r="I67" s="9" t="n">
        <f aca="false">COUNTIFS(Bulgular!$A$2:$A$570,$A67,Bulgular!$F$2:$F$570,"Minör")</f>
        <v>3</v>
      </c>
      <c r="J67" s="9" t="n">
        <f aca="false">G67*Ayarlar!$B$6+H67*Ayarlar!$B$7+I67*Ayarlar!$B$8</f>
        <v>6</v>
      </c>
      <c r="K67" s="6" t="n">
        <f aca="false">INDEX(Ayarlar!$C$11:$C$13,MATCH(D67,Ayarlar!$A$11:$A$13,0))</f>
        <v>30</v>
      </c>
      <c r="L67" s="7" t="n">
        <f aca="false">(K67-J67)/K67*100</f>
        <v>80</v>
      </c>
      <c r="M67" s="6" t="n">
        <f aca="false">INDEX(Ayarlar!$D$11:$D$13,MATCH(D67,Ayarlar!$A$11:$A$13,0))</f>
        <v>85</v>
      </c>
      <c r="N67" s="17" t="str">
        <f aca="false">IF(L67&gt;=M67,"Geçti","Hedef altı")</f>
        <v>Hedef altı</v>
      </c>
    </row>
    <row r="68" customFormat="false" ht="15" hidden="false" customHeight="false" outlineLevel="0" collapsed="false">
      <c r="A68" s="21" t="s">
        <v>183</v>
      </c>
      <c r="B68" s="22" t="n">
        <v>46193</v>
      </c>
      <c r="C68" s="21" t="s">
        <v>98</v>
      </c>
      <c r="D68" s="21" t="s">
        <v>88</v>
      </c>
      <c r="E68" s="21" t="s">
        <v>140</v>
      </c>
      <c r="F68" s="21" t="s">
        <v>141</v>
      </c>
      <c r="G68" s="9" t="n">
        <f aca="false">COUNTIFS(Bulgular!$A$2:$A$570,$A68,Bulgular!$F$2:$F$570,"Kritik")</f>
        <v>1</v>
      </c>
      <c r="H68" s="9" t="n">
        <f aca="false">COUNTIFS(Bulgular!$A$2:$A$570,$A68,Bulgular!$F$2:$F$570,"Major")</f>
        <v>3</v>
      </c>
      <c r="I68" s="9" t="n">
        <f aca="false">COUNTIFS(Bulgular!$A$2:$A$570,$A68,Bulgular!$F$2:$F$570,"Minör")</f>
        <v>0</v>
      </c>
      <c r="J68" s="9" t="n">
        <f aca="false">G68*Ayarlar!$B$6+H68*Ayarlar!$B$7+I68*Ayarlar!$B$8</f>
        <v>6.5</v>
      </c>
      <c r="K68" s="6" t="n">
        <f aca="false">INDEX(Ayarlar!$C$11:$C$13,MATCH(D68,Ayarlar!$A$11:$A$13,0))</f>
        <v>40</v>
      </c>
      <c r="L68" s="7" t="n">
        <f aca="false">(K68-J68)/K68*100</f>
        <v>83.75</v>
      </c>
      <c r="M68" s="6" t="n">
        <f aca="false">INDEX(Ayarlar!$D$11:$D$13,MATCH(D68,Ayarlar!$A$11:$A$13,0))</f>
        <v>90</v>
      </c>
      <c r="N68" s="17" t="str">
        <f aca="false">IF(L68&gt;=M68,"Geçti","Hedef altı")</f>
        <v>Hedef altı</v>
      </c>
    </row>
    <row r="69" customFormat="false" ht="15" hidden="false" customHeight="false" outlineLevel="0" collapsed="false">
      <c r="A69" s="21" t="s">
        <v>184</v>
      </c>
      <c r="B69" s="22" t="n">
        <v>46193</v>
      </c>
      <c r="C69" s="21" t="s">
        <v>96</v>
      </c>
      <c r="D69" s="21" t="s">
        <v>88</v>
      </c>
      <c r="E69" s="21" t="s">
        <v>140</v>
      </c>
      <c r="F69" s="21" t="s">
        <v>141</v>
      </c>
      <c r="G69" s="9" t="n">
        <f aca="false">COUNTIFS(Bulgular!$A$2:$A$570,$A69,Bulgular!$F$2:$F$570,"Kritik")</f>
        <v>0</v>
      </c>
      <c r="H69" s="9" t="n">
        <f aca="false">COUNTIFS(Bulgular!$A$2:$A$570,$A69,Bulgular!$F$2:$F$570,"Major")</f>
        <v>2</v>
      </c>
      <c r="I69" s="9" t="n">
        <f aca="false">COUNTIFS(Bulgular!$A$2:$A$570,$A69,Bulgular!$F$2:$F$570,"Minör")</f>
        <v>0</v>
      </c>
      <c r="J69" s="9" t="n">
        <f aca="false">G69*Ayarlar!$B$6+H69*Ayarlar!$B$7+I69*Ayarlar!$B$8</f>
        <v>3</v>
      </c>
      <c r="K69" s="6" t="n">
        <f aca="false">INDEX(Ayarlar!$C$11:$C$13,MATCH(D69,Ayarlar!$A$11:$A$13,0))</f>
        <v>40</v>
      </c>
      <c r="L69" s="7" t="n">
        <f aca="false">(K69-J69)/K69*100</f>
        <v>92.5</v>
      </c>
      <c r="M69" s="6" t="n">
        <f aca="false">INDEX(Ayarlar!$D$11:$D$13,MATCH(D69,Ayarlar!$A$11:$A$13,0))</f>
        <v>90</v>
      </c>
      <c r="N69" s="17" t="str">
        <f aca="false">IF(L69&gt;=M69,"Geçti","Hedef altı")</f>
        <v>Geçti</v>
      </c>
    </row>
    <row r="70" customFormat="false" ht="15" hidden="false" customHeight="false" outlineLevel="0" collapsed="false">
      <c r="A70" s="21" t="s">
        <v>185</v>
      </c>
      <c r="B70" s="22" t="n">
        <v>46220</v>
      </c>
      <c r="C70" s="21" t="s">
        <v>95</v>
      </c>
      <c r="D70" s="21" t="s">
        <v>94</v>
      </c>
      <c r="E70" s="21" t="s">
        <v>115</v>
      </c>
      <c r="F70" s="21" t="s">
        <v>99</v>
      </c>
      <c r="G70" s="9" t="n">
        <f aca="false">COUNTIFS(Bulgular!$A$2:$A$570,$A70,Bulgular!$F$2:$F$570,"Kritik")</f>
        <v>0</v>
      </c>
      <c r="H70" s="9" t="n">
        <f aca="false">COUNTIFS(Bulgular!$A$2:$A$570,$A70,Bulgular!$F$2:$F$570,"Major")</f>
        <v>3</v>
      </c>
      <c r="I70" s="9" t="n">
        <f aca="false">COUNTIFS(Bulgular!$A$2:$A$570,$A70,Bulgular!$F$2:$F$570,"Minör")</f>
        <v>1</v>
      </c>
      <c r="J70" s="9" t="n">
        <f aca="false">G70*Ayarlar!$B$6+H70*Ayarlar!$B$7+I70*Ayarlar!$B$8</f>
        <v>5.5</v>
      </c>
      <c r="K70" s="6" t="n">
        <f aca="false">INDEX(Ayarlar!$C$11:$C$13,MATCH(D70,Ayarlar!$A$11:$A$13,0))</f>
        <v>91</v>
      </c>
      <c r="L70" s="7" t="n">
        <f aca="false">(K70-J70)/K70*100</f>
        <v>93.956043956044</v>
      </c>
      <c r="M70" s="6" t="n">
        <f aca="false">INDEX(Ayarlar!$D$11:$D$13,MATCH(D70,Ayarlar!$A$11:$A$13,0))</f>
        <v>90</v>
      </c>
      <c r="N70" s="17" t="str">
        <f aca="false">IF(L70&gt;=M70,"Geçti","Hedef altı")</f>
        <v>Geçti</v>
      </c>
    </row>
    <row r="71" customFormat="false" ht="15" hidden="false" customHeight="false" outlineLevel="0" collapsed="false">
      <c r="A71" s="21" t="s">
        <v>186</v>
      </c>
      <c r="B71" s="22" t="n">
        <v>46223</v>
      </c>
      <c r="C71" s="21" t="s">
        <v>95</v>
      </c>
      <c r="D71" s="21" t="s">
        <v>92</v>
      </c>
      <c r="E71" s="21" t="s">
        <v>115</v>
      </c>
      <c r="F71" s="21" t="s">
        <v>97</v>
      </c>
      <c r="G71" s="9" t="n">
        <f aca="false">COUNTIFS(Bulgular!$A$2:$A$570,$A71,Bulgular!$F$2:$F$570,"Kritik")</f>
        <v>2</v>
      </c>
      <c r="H71" s="9" t="n">
        <f aca="false">COUNTIFS(Bulgular!$A$2:$A$570,$A71,Bulgular!$F$2:$F$570,"Major")</f>
        <v>4</v>
      </c>
      <c r="I71" s="9" t="n">
        <f aca="false">COUNTIFS(Bulgular!$A$2:$A$570,$A71,Bulgular!$F$2:$F$570,"Minör")</f>
        <v>0</v>
      </c>
      <c r="J71" s="9" t="n">
        <f aca="false">G71*Ayarlar!$B$6+H71*Ayarlar!$B$7+I71*Ayarlar!$B$8</f>
        <v>10</v>
      </c>
      <c r="K71" s="6" t="n">
        <f aca="false">INDEX(Ayarlar!$C$11:$C$13,MATCH(D71,Ayarlar!$A$11:$A$13,0))</f>
        <v>30</v>
      </c>
      <c r="L71" s="7" t="n">
        <f aca="false">(K71-J71)/K71*100</f>
        <v>66.6666666666667</v>
      </c>
      <c r="M71" s="6" t="n">
        <f aca="false">INDEX(Ayarlar!$D$11:$D$13,MATCH(D71,Ayarlar!$A$11:$A$13,0))</f>
        <v>85</v>
      </c>
      <c r="N71" s="17" t="str">
        <f aca="false">IF(L71&gt;=M71,"Geçti","Hedef altı")</f>
        <v>Hedef altı</v>
      </c>
    </row>
    <row r="72" customFormat="false" ht="15" hidden="false" customHeight="false" outlineLevel="0" collapsed="false">
      <c r="A72" s="21" t="s">
        <v>187</v>
      </c>
      <c r="B72" s="22" t="n">
        <v>46227</v>
      </c>
      <c r="C72" s="21" t="s">
        <v>97</v>
      </c>
      <c r="D72" s="21" t="s">
        <v>88</v>
      </c>
      <c r="E72" s="21" t="s">
        <v>115</v>
      </c>
      <c r="F72" s="21" t="s">
        <v>98</v>
      </c>
      <c r="G72" s="9" t="n">
        <f aca="false">COUNTIFS(Bulgular!$A$2:$A$570,$A72,Bulgular!$F$2:$F$570,"Kritik")</f>
        <v>0</v>
      </c>
      <c r="H72" s="9" t="n">
        <f aca="false">COUNTIFS(Bulgular!$A$2:$A$570,$A72,Bulgular!$F$2:$F$570,"Major")</f>
        <v>0</v>
      </c>
      <c r="I72" s="9" t="n">
        <f aca="false">COUNTIFS(Bulgular!$A$2:$A$570,$A72,Bulgular!$F$2:$F$570,"Minör")</f>
        <v>3</v>
      </c>
      <c r="J72" s="9" t="n">
        <f aca="false">G72*Ayarlar!$B$6+H72*Ayarlar!$B$7+I72*Ayarlar!$B$8</f>
        <v>3</v>
      </c>
      <c r="K72" s="6" t="n">
        <f aca="false">INDEX(Ayarlar!$C$11:$C$13,MATCH(D72,Ayarlar!$A$11:$A$13,0))</f>
        <v>40</v>
      </c>
      <c r="L72" s="7" t="n">
        <f aca="false">(K72-J72)/K72*100</f>
        <v>92.5</v>
      </c>
      <c r="M72" s="6" t="n">
        <f aca="false">INDEX(Ayarlar!$D$11:$D$13,MATCH(D72,Ayarlar!$A$11:$A$13,0))</f>
        <v>90</v>
      </c>
      <c r="N72" s="17" t="str">
        <f aca="false">IF(L72&gt;=M72,"Geçti","Hedef altı")</f>
        <v>Geçti</v>
      </c>
    </row>
    <row r="73" customFormat="false" ht="15" hidden="false" customHeight="false" outlineLevel="0" collapsed="false">
      <c r="A73" s="21" t="s">
        <v>188</v>
      </c>
      <c r="B73" s="22" t="n">
        <v>46229</v>
      </c>
      <c r="C73" s="21" t="s">
        <v>93</v>
      </c>
      <c r="D73" s="21" t="s">
        <v>94</v>
      </c>
      <c r="E73" s="21" t="s">
        <v>115</v>
      </c>
      <c r="F73" s="21" t="s">
        <v>87</v>
      </c>
      <c r="G73" s="9" t="n">
        <f aca="false">COUNTIFS(Bulgular!$A$2:$A$570,$A73,Bulgular!$F$2:$F$570,"Kritik")</f>
        <v>0</v>
      </c>
      <c r="H73" s="9" t="n">
        <f aca="false">COUNTIFS(Bulgular!$A$2:$A$570,$A73,Bulgular!$F$2:$F$570,"Major")</f>
        <v>5</v>
      </c>
      <c r="I73" s="9" t="n">
        <f aca="false">COUNTIFS(Bulgular!$A$2:$A$570,$A73,Bulgular!$F$2:$F$570,"Minör")</f>
        <v>0</v>
      </c>
      <c r="J73" s="9" t="n">
        <f aca="false">G73*Ayarlar!$B$6+H73*Ayarlar!$B$7+I73*Ayarlar!$B$8</f>
        <v>7.5</v>
      </c>
      <c r="K73" s="6" t="n">
        <f aca="false">INDEX(Ayarlar!$C$11:$C$13,MATCH(D73,Ayarlar!$A$11:$A$13,0))</f>
        <v>91</v>
      </c>
      <c r="L73" s="7" t="n">
        <f aca="false">(K73-J73)/K73*100</f>
        <v>91.7582417582418</v>
      </c>
      <c r="M73" s="6" t="n">
        <f aca="false">INDEX(Ayarlar!$D$11:$D$13,MATCH(D73,Ayarlar!$A$11:$A$13,0))</f>
        <v>90</v>
      </c>
      <c r="N73" s="17" t="str">
        <f aca="false">IF(L73&gt;=M73,"Geçti","Hedef altı")</f>
        <v>Geçti</v>
      </c>
    </row>
    <row r="74" customFormat="false" ht="15" hidden="false" customHeight="false" outlineLevel="0" collapsed="false">
      <c r="A74" s="21" t="s">
        <v>189</v>
      </c>
      <c r="B74" s="22" t="n">
        <v>46237</v>
      </c>
      <c r="C74" s="21" t="s">
        <v>87</v>
      </c>
      <c r="D74" s="21" t="s">
        <v>92</v>
      </c>
      <c r="E74" s="21" t="s">
        <v>115</v>
      </c>
      <c r="F74" s="21" t="s">
        <v>93</v>
      </c>
      <c r="G74" s="9" t="n">
        <f aca="false">COUNTIFS(Bulgular!$A$2:$A$570,$A74,Bulgular!$F$2:$F$570,"Kritik")</f>
        <v>1</v>
      </c>
      <c r="H74" s="9" t="n">
        <f aca="false">COUNTIFS(Bulgular!$A$2:$A$570,$A74,Bulgular!$F$2:$F$570,"Major")</f>
        <v>1</v>
      </c>
      <c r="I74" s="9" t="n">
        <f aca="false">COUNTIFS(Bulgular!$A$2:$A$570,$A74,Bulgular!$F$2:$F$570,"Minör")</f>
        <v>0</v>
      </c>
      <c r="J74" s="9" t="n">
        <f aca="false">G74*Ayarlar!$B$6+H74*Ayarlar!$B$7+I74*Ayarlar!$B$8</f>
        <v>3.5</v>
      </c>
      <c r="K74" s="6" t="n">
        <f aca="false">INDEX(Ayarlar!$C$11:$C$13,MATCH(D74,Ayarlar!$A$11:$A$13,0))</f>
        <v>30</v>
      </c>
      <c r="L74" s="7" t="n">
        <f aca="false">(K74-J74)/K74*100</f>
        <v>88.3333333333333</v>
      </c>
      <c r="M74" s="6" t="n">
        <f aca="false">INDEX(Ayarlar!$D$11:$D$13,MATCH(D74,Ayarlar!$A$11:$A$13,0))</f>
        <v>85</v>
      </c>
      <c r="N74" s="17" t="str">
        <f aca="false">IF(L74&gt;=M74,"Geçti","Hedef altı")</f>
        <v>Geçti</v>
      </c>
    </row>
    <row r="75" customFormat="false" ht="15" hidden="false" customHeight="false" outlineLevel="0" collapsed="false">
      <c r="A75" s="21" t="s">
        <v>190</v>
      </c>
      <c r="B75" s="22" t="n">
        <v>46241</v>
      </c>
      <c r="C75" s="21" t="s">
        <v>97</v>
      </c>
      <c r="D75" s="21" t="s">
        <v>94</v>
      </c>
      <c r="E75" s="21" t="s">
        <v>115</v>
      </c>
      <c r="F75" s="21" t="s">
        <v>95</v>
      </c>
      <c r="G75" s="9" t="n">
        <f aca="false">COUNTIFS(Bulgular!$A$2:$A$570,$A75,Bulgular!$F$2:$F$570,"Kritik")</f>
        <v>0</v>
      </c>
      <c r="H75" s="9" t="n">
        <f aca="false">COUNTIFS(Bulgular!$A$2:$A$570,$A75,Bulgular!$F$2:$F$570,"Major")</f>
        <v>5</v>
      </c>
      <c r="I75" s="9" t="n">
        <f aca="false">COUNTIFS(Bulgular!$A$2:$A$570,$A75,Bulgular!$F$2:$F$570,"Minör")</f>
        <v>0</v>
      </c>
      <c r="J75" s="9" t="n">
        <f aca="false">G75*Ayarlar!$B$6+H75*Ayarlar!$B$7+I75*Ayarlar!$B$8</f>
        <v>7.5</v>
      </c>
      <c r="K75" s="6" t="n">
        <f aca="false">INDEX(Ayarlar!$C$11:$C$13,MATCH(D75,Ayarlar!$A$11:$A$13,0))</f>
        <v>91</v>
      </c>
      <c r="L75" s="7" t="n">
        <f aca="false">(K75-J75)/K75*100</f>
        <v>91.7582417582418</v>
      </c>
      <c r="M75" s="6" t="n">
        <f aca="false">INDEX(Ayarlar!$D$11:$D$13,MATCH(D75,Ayarlar!$A$11:$A$13,0))</f>
        <v>90</v>
      </c>
      <c r="N75" s="17" t="str">
        <f aca="false">IF(L75&gt;=M75,"Geçti","Hedef altı")</f>
        <v>Geçti</v>
      </c>
    </row>
    <row r="76" customFormat="false" ht="15" hidden="false" customHeight="false" outlineLevel="0" collapsed="false">
      <c r="A76" s="21" t="s">
        <v>191</v>
      </c>
      <c r="B76" s="22" t="n">
        <v>46243</v>
      </c>
      <c r="C76" s="21" t="s">
        <v>93</v>
      </c>
      <c r="D76" s="21" t="s">
        <v>88</v>
      </c>
      <c r="E76" s="21" t="s">
        <v>115</v>
      </c>
      <c r="F76" s="21" t="s">
        <v>89</v>
      </c>
      <c r="G76" s="9" t="n">
        <f aca="false">COUNTIFS(Bulgular!$A$2:$A$570,$A76,Bulgular!$F$2:$F$570,"Kritik")</f>
        <v>1</v>
      </c>
      <c r="H76" s="9" t="n">
        <f aca="false">COUNTIFS(Bulgular!$A$2:$A$570,$A76,Bulgular!$F$2:$F$570,"Major")</f>
        <v>0</v>
      </c>
      <c r="I76" s="9" t="n">
        <f aca="false">COUNTIFS(Bulgular!$A$2:$A$570,$A76,Bulgular!$F$2:$F$570,"Minör")</f>
        <v>1</v>
      </c>
      <c r="J76" s="9" t="n">
        <f aca="false">G76*Ayarlar!$B$6+H76*Ayarlar!$B$7+I76*Ayarlar!$B$8</f>
        <v>3</v>
      </c>
      <c r="K76" s="6" t="n">
        <f aca="false">INDEX(Ayarlar!$C$11:$C$13,MATCH(D76,Ayarlar!$A$11:$A$13,0))</f>
        <v>40</v>
      </c>
      <c r="L76" s="7" t="n">
        <f aca="false">(K76-J76)/K76*100</f>
        <v>92.5</v>
      </c>
      <c r="M76" s="6" t="n">
        <f aca="false">INDEX(Ayarlar!$D$11:$D$13,MATCH(D76,Ayarlar!$A$11:$A$13,0))</f>
        <v>90</v>
      </c>
      <c r="N76" s="17" t="str">
        <f aca="false">IF(L76&gt;=M76,"Geçti","Hedef altı")</f>
        <v>Geçti</v>
      </c>
    </row>
    <row r="77" customFormat="false" ht="15" hidden="false" customHeight="false" outlineLevel="0" collapsed="false">
      <c r="A77" s="21" t="s">
        <v>192</v>
      </c>
      <c r="B77" s="22" t="n">
        <v>46245</v>
      </c>
      <c r="C77" s="21" t="s">
        <v>87</v>
      </c>
      <c r="D77" s="21" t="s">
        <v>92</v>
      </c>
      <c r="E77" s="21" t="s">
        <v>140</v>
      </c>
      <c r="F77" s="21" t="s">
        <v>141</v>
      </c>
      <c r="G77" s="9" t="n">
        <f aca="false">COUNTIFS(Bulgular!$A$2:$A$570,$A77,Bulgular!$F$2:$F$570,"Kritik")</f>
        <v>0</v>
      </c>
      <c r="H77" s="9" t="n">
        <f aca="false">COUNTIFS(Bulgular!$A$2:$A$570,$A77,Bulgular!$F$2:$F$570,"Major")</f>
        <v>2</v>
      </c>
      <c r="I77" s="9" t="n">
        <f aca="false">COUNTIFS(Bulgular!$A$2:$A$570,$A77,Bulgular!$F$2:$F$570,"Minör")</f>
        <v>0</v>
      </c>
      <c r="J77" s="9" t="n">
        <f aca="false">G77*Ayarlar!$B$6+H77*Ayarlar!$B$7+I77*Ayarlar!$B$8</f>
        <v>3</v>
      </c>
      <c r="K77" s="6" t="n">
        <f aca="false">INDEX(Ayarlar!$C$11:$C$13,MATCH(D77,Ayarlar!$A$11:$A$13,0))</f>
        <v>30</v>
      </c>
      <c r="L77" s="7" t="n">
        <f aca="false">(K77-J77)/K77*100</f>
        <v>90</v>
      </c>
      <c r="M77" s="6" t="n">
        <f aca="false">INDEX(Ayarlar!$D$11:$D$13,MATCH(D77,Ayarlar!$A$11:$A$13,0))</f>
        <v>85</v>
      </c>
      <c r="N77" s="17" t="str">
        <f aca="false">IF(L77&gt;=M77,"Geçti","Hedef altı")</f>
        <v>Geçti</v>
      </c>
    </row>
    <row r="78" customFormat="false" ht="15" hidden="false" customHeight="false" outlineLevel="0" collapsed="false">
      <c r="A78" s="21" t="s">
        <v>193</v>
      </c>
      <c r="B78" s="22" t="n">
        <v>46246</v>
      </c>
      <c r="C78" s="21" t="s">
        <v>87</v>
      </c>
      <c r="D78" s="21" t="s">
        <v>94</v>
      </c>
      <c r="E78" s="21" t="s">
        <v>140</v>
      </c>
      <c r="F78" s="21" t="s">
        <v>141</v>
      </c>
      <c r="G78" s="9" t="n">
        <f aca="false">COUNTIFS(Bulgular!$A$2:$A$570,$A78,Bulgular!$F$2:$F$570,"Kritik")</f>
        <v>3</v>
      </c>
      <c r="H78" s="9" t="n">
        <f aca="false">COUNTIFS(Bulgular!$A$2:$A$570,$A78,Bulgular!$F$2:$F$570,"Major")</f>
        <v>0</v>
      </c>
      <c r="I78" s="9" t="n">
        <f aca="false">COUNTIFS(Bulgular!$A$2:$A$570,$A78,Bulgular!$F$2:$F$570,"Minör")</f>
        <v>1</v>
      </c>
      <c r="J78" s="9" t="n">
        <f aca="false">G78*Ayarlar!$B$6+H78*Ayarlar!$B$7+I78*Ayarlar!$B$8</f>
        <v>7</v>
      </c>
      <c r="K78" s="6" t="n">
        <f aca="false">INDEX(Ayarlar!$C$11:$C$13,MATCH(D78,Ayarlar!$A$11:$A$13,0))</f>
        <v>91</v>
      </c>
      <c r="L78" s="7" t="n">
        <f aca="false">(K78-J78)/K78*100</f>
        <v>92.3076923076923</v>
      </c>
      <c r="M78" s="6" t="n">
        <f aca="false">INDEX(Ayarlar!$D$11:$D$13,MATCH(D78,Ayarlar!$A$11:$A$13,0))</f>
        <v>90</v>
      </c>
      <c r="N78" s="17" t="str">
        <f aca="false">IF(L78&gt;=M78,"Geçti","Hedef altı")</f>
        <v>Geçti</v>
      </c>
    </row>
    <row r="79" customFormat="false" ht="15" hidden="false" customHeight="false" outlineLevel="0" collapsed="false">
      <c r="A79" s="21" t="s">
        <v>194</v>
      </c>
      <c r="B79" s="22" t="n">
        <v>46248</v>
      </c>
      <c r="C79" s="21" t="s">
        <v>99</v>
      </c>
      <c r="D79" s="21" t="s">
        <v>94</v>
      </c>
      <c r="E79" s="21" t="s">
        <v>115</v>
      </c>
      <c r="F79" s="21" t="s">
        <v>95</v>
      </c>
      <c r="G79" s="9" t="n">
        <f aca="false">COUNTIFS(Bulgular!$A$2:$A$570,$A79,Bulgular!$F$2:$F$570,"Kritik")</f>
        <v>1</v>
      </c>
      <c r="H79" s="9" t="n">
        <f aca="false">COUNTIFS(Bulgular!$A$2:$A$570,$A79,Bulgular!$F$2:$F$570,"Major")</f>
        <v>2</v>
      </c>
      <c r="I79" s="9" t="n">
        <f aca="false">COUNTIFS(Bulgular!$A$2:$A$570,$A79,Bulgular!$F$2:$F$570,"Minör")</f>
        <v>0</v>
      </c>
      <c r="J79" s="9" t="n">
        <f aca="false">G79*Ayarlar!$B$6+H79*Ayarlar!$B$7+I79*Ayarlar!$B$8</f>
        <v>5</v>
      </c>
      <c r="K79" s="6" t="n">
        <f aca="false">INDEX(Ayarlar!$C$11:$C$13,MATCH(D79,Ayarlar!$A$11:$A$13,0))</f>
        <v>91</v>
      </c>
      <c r="L79" s="7" t="n">
        <f aca="false">(K79-J79)/K79*100</f>
        <v>94.5054945054945</v>
      </c>
      <c r="M79" s="6" t="n">
        <f aca="false">INDEX(Ayarlar!$D$11:$D$13,MATCH(D79,Ayarlar!$A$11:$A$13,0))</f>
        <v>90</v>
      </c>
      <c r="N79" s="17" t="str">
        <f aca="false">IF(L79&gt;=M79,"Geçti","Hedef altı")</f>
        <v>Geçti</v>
      </c>
    </row>
    <row r="80" customFormat="false" ht="15" hidden="false" customHeight="false" outlineLevel="0" collapsed="false">
      <c r="A80" s="21" t="s">
        <v>195</v>
      </c>
      <c r="B80" s="22" t="n">
        <v>46248</v>
      </c>
      <c r="C80" s="21" t="s">
        <v>99</v>
      </c>
      <c r="D80" s="21" t="s">
        <v>88</v>
      </c>
      <c r="E80" s="21" t="s">
        <v>140</v>
      </c>
      <c r="F80" s="21" t="s">
        <v>141</v>
      </c>
      <c r="G80" s="9" t="n">
        <f aca="false">COUNTIFS(Bulgular!$A$2:$A$570,$A80,Bulgular!$F$2:$F$570,"Kritik")</f>
        <v>0</v>
      </c>
      <c r="H80" s="9" t="n">
        <f aca="false">COUNTIFS(Bulgular!$A$2:$A$570,$A80,Bulgular!$F$2:$F$570,"Major")</f>
        <v>4</v>
      </c>
      <c r="I80" s="9" t="n">
        <f aca="false">COUNTIFS(Bulgular!$A$2:$A$570,$A80,Bulgular!$F$2:$F$570,"Minör")</f>
        <v>1</v>
      </c>
      <c r="J80" s="9" t="n">
        <f aca="false">G80*Ayarlar!$B$6+H80*Ayarlar!$B$7+I80*Ayarlar!$B$8</f>
        <v>7</v>
      </c>
      <c r="K80" s="6" t="n">
        <f aca="false">INDEX(Ayarlar!$C$11:$C$13,MATCH(D80,Ayarlar!$A$11:$A$13,0))</f>
        <v>40</v>
      </c>
      <c r="L80" s="7" t="n">
        <f aca="false">(K80-J80)/K80*100</f>
        <v>82.5</v>
      </c>
      <c r="M80" s="6" t="n">
        <f aca="false">INDEX(Ayarlar!$D$11:$D$13,MATCH(D80,Ayarlar!$A$11:$A$13,0))</f>
        <v>90</v>
      </c>
      <c r="N80" s="17" t="str">
        <f aca="false">IF(L80&gt;=M80,"Geçti","Hedef altı")</f>
        <v>Hedef altı</v>
      </c>
    </row>
    <row r="81" customFormat="false" ht="15" hidden="false" customHeight="false" outlineLevel="0" collapsed="false">
      <c r="A81" s="21" t="s">
        <v>196</v>
      </c>
      <c r="B81" s="22" t="n">
        <v>46249</v>
      </c>
      <c r="C81" s="21" t="s">
        <v>98</v>
      </c>
      <c r="D81" s="21" t="s">
        <v>88</v>
      </c>
      <c r="E81" s="21" t="s">
        <v>115</v>
      </c>
      <c r="F81" s="21" t="s">
        <v>89</v>
      </c>
      <c r="G81" s="9" t="n">
        <f aca="false">COUNTIFS(Bulgular!$A$2:$A$570,$A81,Bulgular!$F$2:$F$570,"Kritik")</f>
        <v>0</v>
      </c>
      <c r="H81" s="9" t="n">
        <f aca="false">COUNTIFS(Bulgular!$A$2:$A$570,$A81,Bulgular!$F$2:$F$570,"Major")</f>
        <v>1</v>
      </c>
      <c r="I81" s="9" t="n">
        <f aca="false">COUNTIFS(Bulgular!$A$2:$A$570,$A81,Bulgular!$F$2:$F$570,"Minör")</f>
        <v>1</v>
      </c>
      <c r="J81" s="9" t="n">
        <f aca="false">G81*Ayarlar!$B$6+H81*Ayarlar!$B$7+I81*Ayarlar!$B$8</f>
        <v>2.5</v>
      </c>
      <c r="K81" s="6" t="n">
        <f aca="false">INDEX(Ayarlar!$C$11:$C$13,MATCH(D81,Ayarlar!$A$11:$A$13,0))</f>
        <v>40</v>
      </c>
      <c r="L81" s="7" t="n">
        <f aca="false">(K81-J81)/K81*100</f>
        <v>93.75</v>
      </c>
      <c r="M81" s="6" t="n">
        <f aca="false">INDEX(Ayarlar!$D$11:$D$13,MATCH(D81,Ayarlar!$A$11:$A$13,0))</f>
        <v>90</v>
      </c>
      <c r="N81" s="17" t="str">
        <f aca="false">IF(L81&gt;=M81,"Geçti","Hedef altı")</f>
        <v>Geçti</v>
      </c>
    </row>
    <row r="82" customFormat="false" ht="15" hidden="false" customHeight="false" outlineLevel="0" collapsed="false">
      <c r="A82" s="21" t="s">
        <v>197</v>
      </c>
      <c r="B82" s="22" t="n">
        <v>46251</v>
      </c>
      <c r="C82" s="21" t="s">
        <v>95</v>
      </c>
      <c r="D82" s="21" t="s">
        <v>94</v>
      </c>
      <c r="E82" s="21" t="s">
        <v>140</v>
      </c>
      <c r="F82" s="21" t="s">
        <v>141</v>
      </c>
      <c r="G82" s="9" t="n">
        <f aca="false">COUNTIFS(Bulgular!$A$2:$A$570,$A82,Bulgular!$F$2:$F$570,"Kritik")</f>
        <v>1</v>
      </c>
      <c r="H82" s="9" t="n">
        <f aca="false">COUNTIFS(Bulgular!$A$2:$A$570,$A82,Bulgular!$F$2:$F$570,"Major")</f>
        <v>1</v>
      </c>
      <c r="I82" s="9" t="n">
        <f aca="false">COUNTIFS(Bulgular!$A$2:$A$570,$A82,Bulgular!$F$2:$F$570,"Minör")</f>
        <v>0</v>
      </c>
      <c r="J82" s="9" t="n">
        <f aca="false">G82*Ayarlar!$B$6+H82*Ayarlar!$B$7+I82*Ayarlar!$B$8</f>
        <v>3.5</v>
      </c>
      <c r="K82" s="6" t="n">
        <f aca="false">INDEX(Ayarlar!$C$11:$C$13,MATCH(D82,Ayarlar!$A$11:$A$13,0))</f>
        <v>91</v>
      </c>
      <c r="L82" s="7" t="n">
        <f aca="false">(K82-J82)/K82*100</f>
        <v>96.1538461538462</v>
      </c>
      <c r="M82" s="6" t="n">
        <f aca="false">INDEX(Ayarlar!$D$11:$D$13,MATCH(D82,Ayarlar!$A$11:$A$13,0))</f>
        <v>90</v>
      </c>
      <c r="N82" s="17" t="str">
        <f aca="false">IF(L82&gt;=M82,"Geçti","Hedef altı")</f>
        <v>Geçti</v>
      </c>
    </row>
    <row r="83" customFormat="false" ht="15" hidden="false" customHeight="false" outlineLevel="0" collapsed="false">
      <c r="A83" s="21" t="s">
        <v>198</v>
      </c>
      <c r="B83" s="22" t="n">
        <v>46253</v>
      </c>
      <c r="C83" s="21" t="s">
        <v>98</v>
      </c>
      <c r="D83" s="21" t="s">
        <v>92</v>
      </c>
      <c r="E83" s="21" t="s">
        <v>115</v>
      </c>
      <c r="F83" s="21" t="s">
        <v>97</v>
      </c>
      <c r="G83" s="9" t="n">
        <f aca="false">COUNTIFS(Bulgular!$A$2:$A$570,$A83,Bulgular!$F$2:$F$570,"Kritik")</f>
        <v>0</v>
      </c>
      <c r="H83" s="9" t="n">
        <f aca="false">COUNTIFS(Bulgular!$A$2:$A$570,$A83,Bulgular!$F$2:$F$570,"Major")</f>
        <v>0</v>
      </c>
      <c r="I83" s="9" t="n">
        <f aca="false">COUNTIFS(Bulgular!$A$2:$A$570,$A83,Bulgular!$F$2:$F$570,"Minör")</f>
        <v>1</v>
      </c>
      <c r="J83" s="9" t="n">
        <f aca="false">G83*Ayarlar!$B$6+H83*Ayarlar!$B$7+I83*Ayarlar!$B$8</f>
        <v>1</v>
      </c>
      <c r="K83" s="6" t="n">
        <f aca="false">INDEX(Ayarlar!$C$11:$C$13,MATCH(D83,Ayarlar!$A$11:$A$13,0))</f>
        <v>30</v>
      </c>
      <c r="L83" s="7" t="n">
        <f aca="false">(K83-J83)/K83*100</f>
        <v>96.6666666666667</v>
      </c>
      <c r="M83" s="6" t="n">
        <f aca="false">INDEX(Ayarlar!$D$11:$D$13,MATCH(D83,Ayarlar!$A$11:$A$13,0))</f>
        <v>85</v>
      </c>
      <c r="N83" s="17" t="str">
        <f aca="false">IF(L83&gt;=M83,"Geçti","Hedef altı")</f>
        <v>Geçti</v>
      </c>
    </row>
    <row r="84" customFormat="false" ht="15" hidden="false" customHeight="false" outlineLevel="0" collapsed="false">
      <c r="A84" s="21" t="s">
        <v>199</v>
      </c>
      <c r="B84" s="22" t="n">
        <v>46254</v>
      </c>
      <c r="C84" s="21" t="s">
        <v>97</v>
      </c>
      <c r="D84" s="21" t="s">
        <v>92</v>
      </c>
      <c r="E84" s="21" t="s">
        <v>115</v>
      </c>
      <c r="F84" s="21" t="s">
        <v>93</v>
      </c>
      <c r="G84" s="9" t="n">
        <f aca="false">COUNTIFS(Bulgular!$A$2:$A$570,$A84,Bulgular!$F$2:$F$570,"Kritik")</f>
        <v>0</v>
      </c>
      <c r="H84" s="9" t="n">
        <f aca="false">COUNTIFS(Bulgular!$A$2:$A$570,$A84,Bulgular!$F$2:$F$570,"Major")</f>
        <v>4</v>
      </c>
      <c r="I84" s="9" t="n">
        <f aca="false">COUNTIFS(Bulgular!$A$2:$A$570,$A84,Bulgular!$F$2:$F$570,"Minör")</f>
        <v>2</v>
      </c>
      <c r="J84" s="9" t="n">
        <f aca="false">G84*Ayarlar!$B$6+H84*Ayarlar!$B$7+I84*Ayarlar!$B$8</f>
        <v>8</v>
      </c>
      <c r="K84" s="6" t="n">
        <f aca="false">INDEX(Ayarlar!$C$11:$C$13,MATCH(D84,Ayarlar!$A$11:$A$13,0))</f>
        <v>30</v>
      </c>
      <c r="L84" s="7" t="n">
        <f aca="false">(K84-J84)/K84*100</f>
        <v>73.3333333333333</v>
      </c>
      <c r="M84" s="6" t="n">
        <f aca="false">INDEX(Ayarlar!$D$11:$D$13,MATCH(D84,Ayarlar!$A$11:$A$13,0))</f>
        <v>85</v>
      </c>
      <c r="N84" s="17" t="str">
        <f aca="false">IF(L84&gt;=M84,"Geçti","Hedef altı")</f>
        <v>Hedef altı</v>
      </c>
    </row>
    <row r="85" customFormat="false" ht="15" hidden="false" customHeight="false" outlineLevel="0" collapsed="false">
      <c r="A85" s="21" t="s">
        <v>200</v>
      </c>
      <c r="B85" s="22" t="n">
        <v>46257</v>
      </c>
      <c r="C85" s="21" t="s">
        <v>93</v>
      </c>
      <c r="D85" s="21" t="s">
        <v>92</v>
      </c>
      <c r="E85" s="21" t="s">
        <v>115</v>
      </c>
      <c r="F85" s="21" t="s">
        <v>97</v>
      </c>
      <c r="G85" s="9" t="n">
        <f aca="false">COUNTIFS(Bulgular!$A$2:$A$570,$A85,Bulgular!$F$2:$F$570,"Kritik")</f>
        <v>1</v>
      </c>
      <c r="H85" s="9" t="n">
        <f aca="false">COUNTIFS(Bulgular!$A$2:$A$570,$A85,Bulgular!$F$2:$F$570,"Major")</f>
        <v>1</v>
      </c>
      <c r="I85" s="9" t="n">
        <f aca="false">COUNTIFS(Bulgular!$A$2:$A$570,$A85,Bulgular!$F$2:$F$570,"Minör")</f>
        <v>1</v>
      </c>
      <c r="J85" s="9" t="n">
        <f aca="false">G85*Ayarlar!$B$6+H85*Ayarlar!$B$7+I85*Ayarlar!$B$8</f>
        <v>4.5</v>
      </c>
      <c r="K85" s="6" t="n">
        <f aca="false">INDEX(Ayarlar!$C$11:$C$13,MATCH(D85,Ayarlar!$A$11:$A$13,0))</f>
        <v>30</v>
      </c>
      <c r="L85" s="7" t="n">
        <f aca="false">(K85-J85)/K85*100</f>
        <v>85</v>
      </c>
      <c r="M85" s="6" t="n">
        <f aca="false">INDEX(Ayarlar!$D$11:$D$13,MATCH(D85,Ayarlar!$A$11:$A$13,0))</f>
        <v>85</v>
      </c>
      <c r="N85" s="17" t="str">
        <f aca="false">IF(L85&gt;=M85,"Geçti","Hedef altı")</f>
        <v>Geçti</v>
      </c>
    </row>
    <row r="86" customFormat="false" ht="15" hidden="false" customHeight="false" outlineLevel="0" collapsed="false">
      <c r="A86" s="21" t="s">
        <v>201</v>
      </c>
      <c r="B86" s="22" t="n">
        <v>46257</v>
      </c>
      <c r="C86" s="21" t="s">
        <v>96</v>
      </c>
      <c r="D86" s="21" t="s">
        <v>92</v>
      </c>
      <c r="E86" s="21" t="s">
        <v>115</v>
      </c>
      <c r="F86" s="21" t="s">
        <v>93</v>
      </c>
      <c r="G86" s="9" t="n">
        <f aca="false">COUNTIFS(Bulgular!$A$2:$A$570,$A86,Bulgular!$F$2:$F$570,"Kritik")</f>
        <v>4</v>
      </c>
      <c r="H86" s="9" t="n">
        <f aca="false">COUNTIFS(Bulgular!$A$2:$A$570,$A86,Bulgular!$F$2:$F$570,"Major")</f>
        <v>0</v>
      </c>
      <c r="I86" s="9" t="n">
        <f aca="false">COUNTIFS(Bulgular!$A$2:$A$570,$A86,Bulgular!$F$2:$F$570,"Minör")</f>
        <v>0</v>
      </c>
      <c r="J86" s="9" t="n">
        <f aca="false">G86*Ayarlar!$B$6+H86*Ayarlar!$B$7+I86*Ayarlar!$B$8</f>
        <v>8</v>
      </c>
      <c r="K86" s="6" t="n">
        <f aca="false">INDEX(Ayarlar!$C$11:$C$13,MATCH(D86,Ayarlar!$A$11:$A$13,0))</f>
        <v>30</v>
      </c>
      <c r="L86" s="7" t="n">
        <f aca="false">(K86-J86)/K86*100</f>
        <v>73.3333333333333</v>
      </c>
      <c r="M86" s="6" t="n">
        <f aca="false">INDEX(Ayarlar!$D$11:$D$13,MATCH(D86,Ayarlar!$A$11:$A$13,0))</f>
        <v>85</v>
      </c>
      <c r="N86" s="17" t="str">
        <f aca="false">IF(L86&gt;=M86,"Geçti","Hedef altı")</f>
        <v>Hedef altı</v>
      </c>
    </row>
  </sheetData>
  <conditionalFormatting sqref="N2:N86">
    <cfRule type="expression" priority="2" aboveAverage="0" equalAverage="0" bottom="0" percent="0" rank="0" text="" dxfId="0">
      <formula>N2="Hedef altı"</formula>
    </cfRule>
    <cfRule type="expression" priority="3" aboveAverage="0" equalAverage="0" bottom="0" percent="0" rank="0" text="" dxfId="1">
      <formula>N2="Geçti"</formula>
    </cfRule>
  </conditionalFormatting>
  <dataValidations count="2">
    <dataValidation allowBlank="false" errorStyle="stop" operator="between" showDropDown="false" showErrorMessage="false" showInputMessage="false" sqref="D2:D286" type="list">
      <formula1>"ASA,PAP,RSA"</formula1>
      <formula2>0</formula2>
    </dataValidation>
    <dataValidation allowBlank="false" errorStyle="stop" operator="between" showDropDown="false" showErrorMessage="false" showInputMessage="false" sqref="E2:E286" type="list">
      <formula1>"İç denetim,Esas denetim"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7" min="7" style="0" width="28"/>
    <col collapsed="false" customWidth="true" hidden="false" outlineLevel="0" max="8" min="8" style="0" width="11"/>
    <col collapsed="false" customWidth="true" hidden="false" outlineLevel="0" max="9" min="9" style="0" width="6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30" hidden="false" customHeight="true" outlineLevel="0" collapsed="false">
      <c r="A1" s="5" t="s">
        <v>103</v>
      </c>
      <c r="B1" s="5" t="s">
        <v>44</v>
      </c>
      <c r="C1" s="5" t="s">
        <v>202</v>
      </c>
      <c r="D1" s="5" t="s">
        <v>45</v>
      </c>
      <c r="E1" s="5" t="s">
        <v>203</v>
      </c>
      <c r="F1" s="5" t="s">
        <v>204</v>
      </c>
      <c r="G1" s="5" t="s">
        <v>51</v>
      </c>
      <c r="H1" s="5" t="s">
        <v>16</v>
      </c>
      <c r="I1" s="5" t="s">
        <v>46</v>
      </c>
      <c r="J1" s="5" t="s">
        <v>105</v>
      </c>
      <c r="K1" s="5" t="s">
        <v>104</v>
      </c>
    </row>
    <row r="2" customFormat="false" ht="15" hidden="false" customHeight="false" outlineLevel="0" collapsed="false">
      <c r="A2" s="24" t="s">
        <v>122</v>
      </c>
      <c r="B2" s="24" t="s">
        <v>205</v>
      </c>
      <c r="C2" s="24" t="s">
        <v>206</v>
      </c>
      <c r="D2" s="19" t="str">
        <f aca="false">IF($B2="","",IFERROR(INDEX(Madde_Listesi!$C:$C,MATCH($B2,Madde_Listesi!$B:$B,0)),"Kod yok"))</f>
        <v>Stok sayımı ve sipariş kayıtları tutarlı</v>
      </c>
      <c r="E2" s="19" t="str">
        <f aca="false">IF($B2="","",IFERROR(INDEX(Madde_Listesi!$D:$D,MATCH($B2,Madde_Listesi!$B:$B,0)),"Kod yok"))</f>
        <v>Stok</v>
      </c>
      <c r="F2" s="19" t="str">
        <f aca="false">IF($B2="","",IFERROR(INDEX(Madde_Listesi!$E:$E,MATCH($B2,Madde_Listesi!$B:$B,0)),"Kod yok"))</f>
        <v>Major</v>
      </c>
      <c r="G2" s="19" t="str">
        <f aca="false">IF($B2="","",IFERROR(INDEX(Madde_Listesi!$F:$F,MATCH($B2,Madde_Listesi!$B:$B,0)),"Kod yok"))</f>
        <v>Stok ve sipariş yönetimi</v>
      </c>
      <c r="H2" s="19" t="str">
        <f aca="false">IF($A2="","",IFERROR(INDEX(Denetimler!$C:$C,MATCH($A2,Denetimler!$A:$A,0)),"No yok"))</f>
        <v>Mağaza A</v>
      </c>
      <c r="I2" s="19" t="str">
        <f aca="false">IF($A2="","",IFERROR(INDEX(Denetimler!$D:$D,MATCH($A2,Denetimler!$A:$A,0)),"No yok"))</f>
        <v>ASA</v>
      </c>
      <c r="J2" s="19" t="str">
        <f aca="false">IF($A2="","",IFERROR(INDEX(Denetimler!$E:$E,MATCH($A2,Denetimler!$A:$A,0)),"No yok"))</f>
        <v>İç denetim</v>
      </c>
      <c r="K2" s="25" t="n">
        <f aca="false">IF($A2="","",IFERROR(INDEX(Denetimler!$B:$B,MATCH($A2,Denetimler!$A:$A,0)),"No yok"))</f>
        <v>46052</v>
      </c>
    </row>
    <row r="3" customFormat="false" ht="15" hidden="false" customHeight="false" outlineLevel="0" collapsed="false">
      <c r="A3" s="24" t="s">
        <v>122</v>
      </c>
      <c r="B3" s="24" t="s">
        <v>207</v>
      </c>
      <c r="C3" s="24" t="s">
        <v>206</v>
      </c>
      <c r="D3" s="19" t="str">
        <f aca="false">IF($B3="","",IFERROR(INDEX(Madde_Listesi!$C:$C,MATCH($B3,Madde_Listesi!$B:$B,0)),"Kod yok"))</f>
        <v>Vardiya planı yoğunluğa uygun hazırlanmış</v>
      </c>
      <c r="E3" s="19" t="str">
        <f aca="false">IF($B3="","",IFERROR(INDEX(Madde_Listesi!$D:$D,MATCH($B3,Madde_Listesi!$B:$B,0)),"Kod yok"))</f>
        <v>Operasyon</v>
      </c>
      <c r="F3" s="19" t="str">
        <f aca="false">IF($B3="","",IFERROR(INDEX(Madde_Listesi!$E:$E,MATCH($B3,Madde_Listesi!$B:$B,0)),"Kod yok"))</f>
        <v>Major</v>
      </c>
      <c r="G3" s="19" t="str">
        <f aca="false">IF($B3="","",IFERROR(INDEX(Madde_Listesi!$F:$F,MATCH($B3,Madde_Listesi!$B:$B,0)),"Kod yok"))</f>
        <v>Vardiya planlama</v>
      </c>
      <c r="H3" s="19" t="str">
        <f aca="false">IF($A3="","",IFERROR(INDEX(Denetimler!$C:$C,MATCH($A3,Denetimler!$A:$A,0)),"No yok"))</f>
        <v>Mağaza A</v>
      </c>
      <c r="I3" s="19" t="str">
        <f aca="false">IF($A3="","",IFERROR(INDEX(Denetimler!$D:$D,MATCH($A3,Denetimler!$A:$A,0)),"No yok"))</f>
        <v>ASA</v>
      </c>
      <c r="J3" s="19" t="str">
        <f aca="false">IF($A3="","",IFERROR(INDEX(Denetimler!$E:$E,MATCH($A3,Denetimler!$A:$A,0)),"No yok"))</f>
        <v>İç denetim</v>
      </c>
      <c r="K3" s="25" t="n">
        <f aca="false">IF($A3="","",IFERROR(INDEX(Denetimler!$B:$B,MATCH($A3,Denetimler!$A:$A,0)),"No yok"))</f>
        <v>46052</v>
      </c>
    </row>
    <row r="4" customFormat="false" ht="15" hidden="false" customHeight="false" outlineLevel="0" collapsed="false">
      <c r="A4" s="24" t="s">
        <v>122</v>
      </c>
      <c r="B4" s="24" t="s">
        <v>208</v>
      </c>
      <c r="C4" s="24" t="s">
        <v>206</v>
      </c>
      <c r="D4" s="19" t="str">
        <f aca="false">IF($B4="","",IFERROR(INDEX(Madde_Listesi!$C:$C,MATCH($B4,Madde_Listesi!$B:$B,0)),"Kod yok"))</f>
        <v>Salon ve misafir alanı temiz ve düzenli</v>
      </c>
      <c r="E4" s="19" t="str">
        <f aca="false">IF($B4="","",IFERROR(INDEX(Madde_Listesi!$D:$D,MATCH($B4,Madde_Listesi!$B:$B,0)),"Kod yok"))</f>
        <v>Misafir deneyimi</v>
      </c>
      <c r="F4" s="19" t="str">
        <f aca="false">IF($B4="","",IFERROR(INDEX(Madde_Listesi!$E:$E,MATCH($B4,Madde_Listesi!$B:$B,0)),"Kod yok"))</f>
        <v>Minör</v>
      </c>
      <c r="G4" s="19" t="str">
        <f aca="false">IF($B4="","",IFERROR(INDEX(Madde_Listesi!$F:$F,MATCH($B4,Madde_Listesi!$B:$B,0)),"Kod yok"))</f>
        <v>Mağaza standartları</v>
      </c>
      <c r="H4" s="19" t="str">
        <f aca="false">IF($A4="","",IFERROR(INDEX(Denetimler!$C:$C,MATCH($A4,Denetimler!$A:$A,0)),"No yok"))</f>
        <v>Mağaza A</v>
      </c>
      <c r="I4" s="19" t="str">
        <f aca="false">IF($A4="","",IFERROR(INDEX(Denetimler!$D:$D,MATCH($A4,Denetimler!$A:$A,0)),"No yok"))</f>
        <v>ASA</v>
      </c>
      <c r="J4" s="19" t="str">
        <f aca="false">IF($A4="","",IFERROR(INDEX(Denetimler!$E:$E,MATCH($A4,Denetimler!$A:$A,0)),"No yok"))</f>
        <v>İç denetim</v>
      </c>
      <c r="K4" s="25" t="n">
        <f aca="false">IF($A4="","",IFERROR(INDEX(Denetimler!$B:$B,MATCH($A4,Denetimler!$A:$A,0)),"No yok"))</f>
        <v>46052</v>
      </c>
    </row>
    <row r="5" customFormat="false" ht="15" hidden="false" customHeight="false" outlineLevel="0" collapsed="false">
      <c r="A5" s="24" t="s">
        <v>122</v>
      </c>
      <c r="B5" s="24" t="s">
        <v>209</v>
      </c>
      <c r="C5" s="24" t="s">
        <v>206</v>
      </c>
      <c r="D5" s="19" t="str">
        <f aca="false">IF($B5="","",IFERROR(INDEX(Madde_Listesi!$C:$C,MATCH($B5,Madde_Listesi!$B:$B,0)),"Kod yok"))</f>
        <v>Ürün sunumu marka standartlarına uygun</v>
      </c>
      <c r="E5" s="19" t="str">
        <f aca="false">IF($B5="","",IFERROR(INDEX(Madde_Listesi!$D:$D,MATCH($B5,Madde_Listesi!$B:$B,0)),"Kod yok"))</f>
        <v>Misafir deneyimi</v>
      </c>
      <c r="F5" s="19" t="str">
        <f aca="false">IF($B5="","",IFERROR(INDEX(Madde_Listesi!$E:$E,MATCH($B5,Madde_Listesi!$B:$B,0)),"Kod yok"))</f>
        <v>Major</v>
      </c>
      <c r="G5" s="19" t="str">
        <f aca="false">IF($B5="","",IFERROR(INDEX(Madde_Listesi!$F:$F,MATCH($B5,Madde_Listesi!$B:$B,0)),"Kod yok"))</f>
        <v>Ürün hazırlama standartları</v>
      </c>
      <c r="H5" s="19" t="str">
        <f aca="false">IF($A5="","",IFERROR(INDEX(Denetimler!$C:$C,MATCH($A5,Denetimler!$A:$A,0)),"No yok"))</f>
        <v>Mağaza A</v>
      </c>
      <c r="I5" s="19" t="str">
        <f aca="false">IF($A5="","",IFERROR(INDEX(Denetimler!$D:$D,MATCH($A5,Denetimler!$A:$A,0)),"No yok"))</f>
        <v>ASA</v>
      </c>
      <c r="J5" s="19" t="str">
        <f aca="false">IF($A5="","",IFERROR(INDEX(Denetimler!$E:$E,MATCH($A5,Denetimler!$A:$A,0)),"No yok"))</f>
        <v>İç denetim</v>
      </c>
      <c r="K5" s="25" t="n">
        <f aca="false">IF($A5="","",IFERROR(INDEX(Denetimler!$B:$B,MATCH($A5,Denetimler!$A:$A,0)),"No yok"))</f>
        <v>46052</v>
      </c>
    </row>
    <row r="6" customFormat="false" ht="15" hidden="false" customHeight="false" outlineLevel="0" collapsed="false">
      <c r="A6" s="24" t="s">
        <v>119</v>
      </c>
      <c r="B6" s="24" t="s">
        <v>210</v>
      </c>
      <c r="C6" s="24" t="s">
        <v>206</v>
      </c>
      <c r="D6" s="19" t="str">
        <f aca="false">IF($B6="","",IFERROR(INDEX(Madde_Listesi!$C:$C,MATCH($B6,Madde_Listesi!$B:$B,0)),"Kod yok"))</f>
        <v>Kimyasallar etiketli ve gıdadan ayrı saklanıyor</v>
      </c>
      <c r="E6" s="19" t="str">
        <f aca="false">IF($B6="","",IFERROR(INDEX(Madde_Listesi!$D:$D,MATCH($B6,Madde_Listesi!$B:$B,0)),"Kod yok"))</f>
        <v>Bulaşma</v>
      </c>
      <c r="F6" s="19" t="str">
        <f aca="false">IF($B6="","",IFERROR(INDEX(Madde_Listesi!$E:$E,MATCH($B6,Madde_Listesi!$B:$B,0)),"Kod yok"))</f>
        <v>Major</v>
      </c>
      <c r="G6" s="19" t="str">
        <f aca="false">IF($B6="","",IFERROR(INDEX(Madde_Listesi!$F:$F,MATCH($B6,Madde_Listesi!$B:$B,0)),"Kod yok"))</f>
        <v>Kimyasal güvenliği</v>
      </c>
      <c r="H6" s="19" t="str">
        <f aca="false">IF($A6="","",IFERROR(INDEX(Denetimler!$C:$C,MATCH($A6,Denetimler!$A:$A,0)),"No yok"))</f>
        <v>Mağaza A</v>
      </c>
      <c r="I6" s="19" t="str">
        <f aca="false">IF($A6="","",IFERROR(INDEX(Denetimler!$D:$D,MATCH($A6,Denetimler!$A:$A,0)),"No yok"))</f>
        <v>RSA</v>
      </c>
      <c r="J6" s="19" t="str">
        <f aca="false">IF($A6="","",IFERROR(INDEX(Denetimler!$E:$E,MATCH($A6,Denetimler!$A:$A,0)),"No yok"))</f>
        <v>İç denetim</v>
      </c>
      <c r="K6" s="25" t="n">
        <f aca="false">IF($A6="","",IFERROR(INDEX(Denetimler!$B:$B,MATCH($A6,Denetimler!$A:$A,0)),"No yok"))</f>
        <v>46049</v>
      </c>
    </row>
    <row r="7" customFormat="false" ht="15" hidden="false" customHeight="false" outlineLevel="0" collapsed="false">
      <c r="A7" s="24" t="s">
        <v>119</v>
      </c>
      <c r="B7" s="24" t="s">
        <v>211</v>
      </c>
      <c r="C7" s="24" t="s">
        <v>206</v>
      </c>
      <c r="D7" s="19" t="str">
        <f aca="false">IF($B7="","",IFERROR(INDEX(Madde_Listesi!$C:$C,MATCH($B7,Madde_Listesi!$B:$B,0)),"Kod yok"))</f>
        <v>Haşere girişini önleyen önlemler yerinde</v>
      </c>
      <c r="E7" s="19" t="str">
        <f aca="false">IF($B7="","",IFERROR(INDEX(Madde_Listesi!$D:$D,MATCH($B7,Madde_Listesi!$B:$B,0)),"Kod yok"))</f>
        <v>Haşere</v>
      </c>
      <c r="F7" s="19" t="str">
        <f aca="false">IF($B7="","",IFERROR(INDEX(Madde_Listesi!$E:$E,MATCH($B7,Madde_Listesi!$B:$B,0)),"Kod yok"))</f>
        <v>Major</v>
      </c>
      <c r="G7" s="19" t="str">
        <f aca="false">IF($B7="","",IFERROR(INDEX(Madde_Listesi!$F:$F,MATCH($B7,Madde_Listesi!$B:$B,0)),"Kod yok"))</f>
        <v>Haşere önleme</v>
      </c>
      <c r="H7" s="19" t="str">
        <f aca="false">IF($A7="","",IFERROR(INDEX(Denetimler!$C:$C,MATCH($A7,Denetimler!$A:$A,0)),"No yok"))</f>
        <v>Mağaza A</v>
      </c>
      <c r="I7" s="19" t="str">
        <f aca="false">IF($A7="","",IFERROR(INDEX(Denetimler!$D:$D,MATCH($A7,Denetimler!$A:$A,0)),"No yok"))</f>
        <v>RSA</v>
      </c>
      <c r="J7" s="19" t="str">
        <f aca="false">IF($A7="","",IFERROR(INDEX(Denetimler!$E:$E,MATCH($A7,Denetimler!$A:$A,0)),"No yok"))</f>
        <v>İç denetim</v>
      </c>
      <c r="K7" s="25" t="n">
        <f aca="false">IF($A7="","",IFERROR(INDEX(Denetimler!$B:$B,MATCH($A7,Denetimler!$A:$A,0)),"No yok"))</f>
        <v>46049</v>
      </c>
    </row>
    <row r="8" customFormat="false" ht="15" hidden="false" customHeight="false" outlineLevel="0" collapsed="false">
      <c r="A8" s="24" t="s">
        <v>119</v>
      </c>
      <c r="B8" s="24" t="s">
        <v>212</v>
      </c>
      <c r="C8" s="24" t="s">
        <v>206</v>
      </c>
      <c r="D8" s="19" t="str">
        <f aca="false">IF($B8="","",IFERROR(INDEX(Madde_Listesi!$C:$C,MATCH($B8,Madde_Listesi!$B:$B,0)),"Kod yok"))</f>
        <v>Gıdayla temas eden yüzeyler temiz ve dezenfekte</v>
      </c>
      <c r="E8" s="19" t="str">
        <f aca="false">IF($B8="","",IFERROR(INDEX(Madde_Listesi!$D:$D,MATCH($B8,Madde_Listesi!$B:$B,0)),"Kod yok"))</f>
        <v>Bulaşma</v>
      </c>
      <c r="F8" s="19" t="str">
        <f aca="false">IF($B8="","",IFERROR(INDEX(Madde_Listesi!$E:$E,MATCH($B8,Madde_Listesi!$B:$B,0)),"Kod yok"))</f>
        <v>Major</v>
      </c>
      <c r="G8" s="19" t="str">
        <f aca="false">IF($B8="","",IFERROR(INDEX(Madde_Listesi!$F:$F,MATCH($B8,Madde_Listesi!$B:$B,0)),"Kod yok"))</f>
        <v>Temizlik ve dezenfeksiyon</v>
      </c>
      <c r="H8" s="19" t="str">
        <f aca="false">IF($A8="","",IFERROR(INDEX(Denetimler!$C:$C,MATCH($A8,Denetimler!$A:$A,0)),"No yok"))</f>
        <v>Mağaza A</v>
      </c>
      <c r="I8" s="19" t="str">
        <f aca="false">IF($A8="","",IFERROR(INDEX(Denetimler!$D:$D,MATCH($A8,Denetimler!$A:$A,0)),"No yok"))</f>
        <v>RSA</v>
      </c>
      <c r="J8" s="19" t="str">
        <f aca="false">IF($A8="","",IFERROR(INDEX(Denetimler!$E:$E,MATCH($A8,Denetimler!$A:$A,0)),"No yok"))</f>
        <v>İç denetim</v>
      </c>
      <c r="K8" s="25" t="n">
        <f aca="false">IF($A8="","",IFERROR(INDEX(Denetimler!$B:$B,MATCH($A8,Denetimler!$A:$A,0)),"No yok"))</f>
        <v>46049</v>
      </c>
    </row>
    <row r="9" customFormat="false" ht="15" hidden="false" customHeight="false" outlineLevel="0" collapsed="false">
      <c r="A9" s="24" t="s">
        <v>119</v>
      </c>
      <c r="B9" s="24" t="s">
        <v>213</v>
      </c>
      <c r="C9" s="24" t="s">
        <v>206</v>
      </c>
      <c r="D9" s="19" t="str">
        <f aca="false">IF($B9="","",IFERROR(INDEX(Madde_Listesi!$C:$C,MATCH($B9,Madde_Listesi!$B:$B,0)),"Kod yok"))</f>
        <v>Soğutucular uygun sıcaklıkta</v>
      </c>
      <c r="E9" s="19" t="str">
        <f aca="false">IF($B9="","",IFERROR(INDEX(Madde_Listesi!$D:$D,MATCH($B9,Madde_Listesi!$B:$B,0)),"Kod yok"))</f>
        <v>Sıcaklık</v>
      </c>
      <c r="F9" s="19" t="str">
        <f aca="false">IF($B9="","",IFERROR(INDEX(Madde_Listesi!$E:$E,MATCH($B9,Madde_Listesi!$B:$B,0)),"Kod yok"))</f>
        <v>Kritik</v>
      </c>
      <c r="G9" s="19" t="str">
        <f aca="false">IF($B9="","",IFERROR(INDEX(Madde_Listesi!$F:$F,MATCH($B9,Madde_Listesi!$B:$B,0)),"Kod yok"))</f>
        <v>Soğuk zincir ve sıcaklık kontrolü</v>
      </c>
      <c r="H9" s="19" t="str">
        <f aca="false">IF($A9="","",IFERROR(INDEX(Denetimler!$C:$C,MATCH($A9,Denetimler!$A:$A,0)),"No yok"))</f>
        <v>Mağaza A</v>
      </c>
      <c r="I9" s="19" t="str">
        <f aca="false">IF($A9="","",IFERROR(INDEX(Denetimler!$D:$D,MATCH($A9,Denetimler!$A:$A,0)),"No yok"))</f>
        <v>RSA</v>
      </c>
      <c r="J9" s="19" t="str">
        <f aca="false">IF($A9="","",IFERROR(INDEX(Denetimler!$E:$E,MATCH($A9,Denetimler!$A:$A,0)),"No yok"))</f>
        <v>İç denetim</v>
      </c>
      <c r="K9" s="25" t="n">
        <f aca="false">IF($A9="","",IFERROR(INDEX(Denetimler!$B:$B,MATCH($A9,Denetimler!$A:$A,0)),"No yok"))</f>
        <v>46049</v>
      </c>
    </row>
    <row r="10" customFormat="false" ht="15" hidden="false" customHeight="false" outlineLevel="0" collapsed="false">
      <c r="A10" s="24" t="s">
        <v>119</v>
      </c>
      <c r="B10" s="24" t="s">
        <v>214</v>
      </c>
      <c r="C10" s="24" t="s">
        <v>206</v>
      </c>
      <c r="D10" s="19" t="str">
        <f aca="false">IF($B10="","",IFERROR(INDEX(Madde_Listesi!$C:$C,MATCH($B10,Madde_Listesi!$B:$B,0)),"Kod yok"))</f>
        <v>Sıcaklık kayıtları tam ve zamanında tutulmuş</v>
      </c>
      <c r="E10" s="19" t="str">
        <f aca="false">IF($B10="","",IFERROR(INDEX(Madde_Listesi!$D:$D,MATCH($B10,Madde_Listesi!$B:$B,0)),"Kod yok"))</f>
        <v>Sıcaklık</v>
      </c>
      <c r="F10" s="19" t="str">
        <f aca="false">IF($B10="","",IFERROR(INDEX(Madde_Listesi!$E:$E,MATCH($B10,Madde_Listesi!$B:$B,0)),"Kod yok"))</f>
        <v>Major</v>
      </c>
      <c r="G10" s="19" t="str">
        <f aca="false">IF($B10="","",IFERROR(INDEX(Madde_Listesi!$F:$F,MATCH($B10,Madde_Listesi!$B:$B,0)),"Kod yok"))</f>
        <v>Soğuk zincir ve sıcaklık kontrolü</v>
      </c>
      <c r="H10" s="19" t="str">
        <f aca="false">IF($A10="","",IFERROR(INDEX(Denetimler!$C:$C,MATCH($A10,Denetimler!$A:$A,0)),"No yok"))</f>
        <v>Mağaza A</v>
      </c>
      <c r="I10" s="19" t="str">
        <f aca="false">IF($A10="","",IFERROR(INDEX(Denetimler!$D:$D,MATCH($A10,Denetimler!$A:$A,0)),"No yok"))</f>
        <v>RSA</v>
      </c>
      <c r="J10" s="19" t="str">
        <f aca="false">IF($A10="","",IFERROR(INDEX(Denetimler!$E:$E,MATCH($A10,Denetimler!$A:$A,0)),"No yok"))</f>
        <v>İç denetim</v>
      </c>
      <c r="K10" s="25" t="n">
        <f aca="false">IF($A10="","",IFERROR(INDEX(Denetimler!$B:$B,MATCH($A10,Denetimler!$A:$A,0)),"No yok"))</f>
        <v>46049</v>
      </c>
    </row>
    <row r="11" customFormat="false" ht="15" hidden="false" customHeight="false" outlineLevel="0" collapsed="false">
      <c r="A11" s="24" t="s">
        <v>114</v>
      </c>
      <c r="B11" s="24" t="s">
        <v>208</v>
      </c>
      <c r="C11" s="24" t="s">
        <v>206</v>
      </c>
      <c r="D11" s="19" t="str">
        <f aca="false">IF($B11="","",IFERROR(INDEX(Madde_Listesi!$C:$C,MATCH($B11,Madde_Listesi!$B:$B,0)),"Kod yok"))</f>
        <v>Salon ve misafir alanı temiz ve düzenli</v>
      </c>
      <c r="E11" s="19" t="str">
        <f aca="false">IF($B11="","",IFERROR(INDEX(Madde_Listesi!$D:$D,MATCH($B11,Madde_Listesi!$B:$B,0)),"Kod yok"))</f>
        <v>Misafir deneyimi</v>
      </c>
      <c r="F11" s="19" t="str">
        <f aca="false">IF($B11="","",IFERROR(INDEX(Madde_Listesi!$E:$E,MATCH($B11,Madde_Listesi!$B:$B,0)),"Kod yok"))</f>
        <v>Minör</v>
      </c>
      <c r="G11" s="19" t="str">
        <f aca="false">IF($B11="","",IFERROR(INDEX(Madde_Listesi!$F:$F,MATCH($B11,Madde_Listesi!$B:$B,0)),"Kod yok"))</f>
        <v>Mağaza standartları</v>
      </c>
      <c r="H11" s="19" t="str">
        <f aca="false">IF($A11="","",IFERROR(INDEX(Denetimler!$C:$C,MATCH($A11,Denetimler!$A:$A,0)),"No yok"))</f>
        <v>Mağaza B</v>
      </c>
      <c r="I11" s="19" t="str">
        <f aca="false">IF($A11="","",IFERROR(INDEX(Denetimler!$D:$D,MATCH($A11,Denetimler!$A:$A,0)),"No yok"))</f>
        <v>ASA</v>
      </c>
      <c r="J11" s="19" t="str">
        <f aca="false">IF($A11="","",IFERROR(INDEX(Denetimler!$E:$E,MATCH($A11,Denetimler!$A:$A,0)),"No yok"))</f>
        <v>İç denetim</v>
      </c>
      <c r="K11" s="25" t="n">
        <f aca="false">IF($A11="","",IFERROR(INDEX(Denetimler!$B:$B,MATCH($A11,Denetimler!$A:$A,0)),"No yok"))</f>
        <v>46042</v>
      </c>
    </row>
    <row r="12" customFormat="false" ht="15" hidden="false" customHeight="false" outlineLevel="0" collapsed="false">
      <c r="A12" s="24" t="s">
        <v>114</v>
      </c>
      <c r="B12" s="24" t="s">
        <v>215</v>
      </c>
      <c r="C12" s="24" t="s">
        <v>206</v>
      </c>
      <c r="D12" s="19" t="str">
        <f aca="false">IF($B12="","",IFERROR(INDEX(Madde_Listesi!$C:$C,MATCH($B12,Madde_Listesi!$B:$B,0)),"Kod yok"))</f>
        <v>Ekipman bakım kayıtları güncel</v>
      </c>
      <c r="E12" s="19" t="str">
        <f aca="false">IF($B12="","",IFERROR(INDEX(Madde_Listesi!$D:$D,MATCH($B12,Madde_Listesi!$B:$B,0)),"Kod yok"))</f>
        <v>Ekipman</v>
      </c>
      <c r="F12" s="19" t="str">
        <f aca="false">IF($B12="","",IFERROR(INDEX(Madde_Listesi!$E:$E,MATCH($B12,Madde_Listesi!$B:$B,0)),"Kod yok"))</f>
        <v>Minör</v>
      </c>
      <c r="G12" s="19" t="str">
        <f aca="false">IF($B12="","",IFERROR(INDEX(Madde_Listesi!$F:$F,MATCH($B12,Madde_Listesi!$B:$B,0)),"Kod yok"))</f>
        <v>Ekipman bakımı</v>
      </c>
      <c r="H12" s="19" t="str">
        <f aca="false">IF($A12="","",IFERROR(INDEX(Denetimler!$C:$C,MATCH($A12,Denetimler!$A:$A,0)),"No yok"))</f>
        <v>Mağaza B</v>
      </c>
      <c r="I12" s="19" t="str">
        <f aca="false">IF($A12="","",IFERROR(INDEX(Denetimler!$D:$D,MATCH($A12,Denetimler!$A:$A,0)),"No yok"))</f>
        <v>ASA</v>
      </c>
      <c r="J12" s="19" t="str">
        <f aca="false">IF($A12="","",IFERROR(INDEX(Denetimler!$E:$E,MATCH($A12,Denetimler!$A:$A,0)),"No yok"))</f>
        <v>İç denetim</v>
      </c>
      <c r="K12" s="25" t="n">
        <f aca="false">IF($A12="","",IFERROR(INDEX(Denetimler!$B:$B,MATCH($A12,Denetimler!$A:$A,0)),"No yok"))</f>
        <v>46042</v>
      </c>
    </row>
    <row r="13" customFormat="false" ht="15" hidden="false" customHeight="false" outlineLevel="0" collapsed="false">
      <c r="A13" s="24" t="s">
        <v>114</v>
      </c>
      <c r="B13" s="24" t="s">
        <v>207</v>
      </c>
      <c r="C13" s="24" t="s">
        <v>206</v>
      </c>
      <c r="D13" s="19" t="str">
        <f aca="false">IF($B13="","",IFERROR(INDEX(Madde_Listesi!$C:$C,MATCH($B13,Madde_Listesi!$B:$B,0)),"Kod yok"))</f>
        <v>Vardiya planı yoğunluğa uygun hazırlanmış</v>
      </c>
      <c r="E13" s="19" t="str">
        <f aca="false">IF($B13="","",IFERROR(INDEX(Madde_Listesi!$D:$D,MATCH($B13,Madde_Listesi!$B:$B,0)),"Kod yok"))</f>
        <v>Operasyon</v>
      </c>
      <c r="F13" s="19" t="str">
        <f aca="false">IF($B13="","",IFERROR(INDEX(Madde_Listesi!$E:$E,MATCH($B13,Madde_Listesi!$B:$B,0)),"Kod yok"))</f>
        <v>Major</v>
      </c>
      <c r="G13" s="19" t="str">
        <f aca="false">IF($B13="","",IFERROR(INDEX(Madde_Listesi!$F:$F,MATCH($B13,Madde_Listesi!$B:$B,0)),"Kod yok"))</f>
        <v>Vardiya planlama</v>
      </c>
      <c r="H13" s="19" t="str">
        <f aca="false">IF($A13="","",IFERROR(INDEX(Denetimler!$C:$C,MATCH($A13,Denetimler!$A:$A,0)),"No yok"))</f>
        <v>Mağaza B</v>
      </c>
      <c r="I13" s="19" t="str">
        <f aca="false">IF($A13="","",IFERROR(INDEX(Denetimler!$D:$D,MATCH($A13,Denetimler!$A:$A,0)),"No yok"))</f>
        <v>ASA</v>
      </c>
      <c r="J13" s="19" t="str">
        <f aca="false">IF($A13="","",IFERROR(INDEX(Denetimler!$E:$E,MATCH($A13,Denetimler!$A:$A,0)),"No yok"))</f>
        <v>İç denetim</v>
      </c>
      <c r="K13" s="25" t="n">
        <f aca="false">IF($A13="","",IFERROR(INDEX(Denetimler!$B:$B,MATCH($A13,Denetimler!$A:$A,0)),"No yok"))</f>
        <v>46042</v>
      </c>
    </row>
    <row r="14" customFormat="false" ht="15" hidden="false" customHeight="false" outlineLevel="0" collapsed="false">
      <c r="A14" s="24" t="s">
        <v>114</v>
      </c>
      <c r="B14" s="24" t="s">
        <v>216</v>
      </c>
      <c r="C14" s="24" t="s">
        <v>206</v>
      </c>
      <c r="D14" s="19" t="str">
        <f aca="false">IF($B14="","",IFERROR(INDEX(Madde_Listesi!$C:$C,MATCH($B14,Madde_Listesi!$B:$B,0)),"Kod yok"))</f>
        <v>Kasa açılış-kapanış prosedürü uygulanıyor</v>
      </c>
      <c r="E14" s="19" t="str">
        <f aca="false">IF($B14="","",IFERROR(INDEX(Madde_Listesi!$D:$D,MATCH($B14,Madde_Listesi!$B:$B,0)),"Kod yok"))</f>
        <v>Operasyon</v>
      </c>
      <c r="F14" s="19" t="str">
        <f aca="false">IF($B14="","",IFERROR(INDEX(Madde_Listesi!$E:$E,MATCH($B14,Madde_Listesi!$B:$B,0)),"Kod yok"))</f>
        <v>Kritik</v>
      </c>
      <c r="G14" s="19" t="str">
        <f aca="false">IF($B14="","",IFERROR(INDEX(Madde_Listesi!$F:$F,MATCH($B14,Madde_Listesi!$B:$B,0)),"Kod yok"))</f>
        <v>Kasa prosedürleri</v>
      </c>
      <c r="H14" s="19" t="str">
        <f aca="false">IF($A14="","",IFERROR(INDEX(Denetimler!$C:$C,MATCH($A14,Denetimler!$A:$A,0)),"No yok"))</f>
        <v>Mağaza B</v>
      </c>
      <c r="I14" s="19" t="str">
        <f aca="false">IF($A14="","",IFERROR(INDEX(Denetimler!$D:$D,MATCH($A14,Denetimler!$A:$A,0)),"No yok"))</f>
        <v>ASA</v>
      </c>
      <c r="J14" s="19" t="str">
        <f aca="false">IF($A14="","",IFERROR(INDEX(Denetimler!$E:$E,MATCH($A14,Denetimler!$A:$A,0)),"No yok"))</f>
        <v>İç denetim</v>
      </c>
      <c r="K14" s="25" t="n">
        <f aca="false">IF($A14="","",IFERROR(INDEX(Denetimler!$B:$B,MATCH($A14,Denetimler!$A:$A,0)),"No yok"))</f>
        <v>46042</v>
      </c>
    </row>
    <row r="15" customFormat="false" ht="15" hidden="false" customHeight="false" outlineLevel="0" collapsed="false">
      <c r="A15" s="24" t="s">
        <v>120</v>
      </c>
      <c r="B15" s="24" t="s">
        <v>217</v>
      </c>
      <c r="C15" s="24" t="s">
        <v>206</v>
      </c>
      <c r="D15" s="19" t="str">
        <f aca="false">IF($B15="","",IFERROR(INDEX(Madde_Listesi!$C:$C,MATCH($B15,Madde_Listesi!$B:$B,0)),"Kod yok"))</f>
        <v>Kamera kayıtları erişilebilir ve süresi uygun</v>
      </c>
      <c r="E15" s="19" t="str">
        <f aca="false">IF($B15="","",IFERROR(INDEX(Madde_Listesi!$D:$D,MATCH($B15,Madde_Listesi!$B:$B,0)),"Kod yok"))</f>
        <v>Güvenlik</v>
      </c>
      <c r="F15" s="19" t="str">
        <f aca="false">IF($B15="","",IFERROR(INDEX(Madde_Listesi!$E:$E,MATCH($B15,Madde_Listesi!$B:$B,0)),"Kod yok"))</f>
        <v>Minör</v>
      </c>
      <c r="G15" s="19" t="str">
        <f aca="false">IF($B15="","",IFERROR(INDEX(Madde_Listesi!$F:$F,MATCH($B15,Madde_Listesi!$B:$B,0)),"Kod yok"))</f>
        <v>Mağaza güvenliği</v>
      </c>
      <c r="H15" s="19" t="str">
        <f aca="false">IF($A15="","",IFERROR(INDEX(Denetimler!$C:$C,MATCH($A15,Denetimler!$A:$A,0)),"No yok"))</f>
        <v>Mağaza B</v>
      </c>
      <c r="I15" s="19" t="str">
        <f aca="false">IF($A15="","",IFERROR(INDEX(Denetimler!$D:$D,MATCH($A15,Denetimler!$A:$A,0)),"No yok"))</f>
        <v>PAP</v>
      </c>
      <c r="J15" s="19" t="str">
        <f aca="false">IF($A15="","",IFERROR(INDEX(Denetimler!$E:$E,MATCH($A15,Denetimler!$A:$A,0)),"No yok"))</f>
        <v>İç denetim</v>
      </c>
      <c r="K15" s="25" t="n">
        <f aca="false">IF($A15="","",IFERROR(INDEX(Denetimler!$B:$B,MATCH($A15,Denetimler!$A:$A,0)),"No yok"))</f>
        <v>46050</v>
      </c>
    </row>
    <row r="16" customFormat="false" ht="15" hidden="false" customHeight="false" outlineLevel="0" collapsed="false">
      <c r="A16" s="24" t="s">
        <v>120</v>
      </c>
      <c r="B16" s="24" t="s">
        <v>218</v>
      </c>
      <c r="C16" s="24" t="s">
        <v>206</v>
      </c>
      <c r="D16" s="19" t="str">
        <f aca="false">IF($B16="","",IFERROR(INDEX(Madde_Listesi!$C:$C,MATCH($B16,Madde_Listesi!$B:$B,0)),"Kod yok"))</f>
        <v>Depo ve kasa anahtarları yetkili kişide</v>
      </c>
      <c r="E16" s="19" t="str">
        <f aca="false">IF($B16="","",IFERROR(INDEX(Madde_Listesi!$D:$D,MATCH($B16,Madde_Listesi!$B:$B,0)),"Kod yok"))</f>
        <v>Güvenlik</v>
      </c>
      <c r="F16" s="19" t="str">
        <f aca="false">IF($B16="","",IFERROR(INDEX(Madde_Listesi!$E:$E,MATCH($B16,Madde_Listesi!$B:$B,0)),"Kod yok"))</f>
        <v>Major</v>
      </c>
      <c r="G16" s="19" t="str">
        <f aca="false">IF($B16="","",IFERROR(INDEX(Madde_Listesi!$F:$F,MATCH($B16,Madde_Listesi!$B:$B,0)),"Kod yok"))</f>
        <v>Mağaza güvenliği</v>
      </c>
      <c r="H16" s="19" t="str">
        <f aca="false">IF($A16="","",IFERROR(INDEX(Denetimler!$C:$C,MATCH($A16,Denetimler!$A:$A,0)),"No yok"))</f>
        <v>Mağaza B</v>
      </c>
      <c r="I16" s="19" t="str">
        <f aca="false">IF($A16="","",IFERROR(INDEX(Denetimler!$D:$D,MATCH($A16,Denetimler!$A:$A,0)),"No yok"))</f>
        <v>PAP</v>
      </c>
      <c r="J16" s="19" t="str">
        <f aca="false">IF($A16="","",IFERROR(INDEX(Denetimler!$E:$E,MATCH($A16,Denetimler!$A:$A,0)),"No yok"))</f>
        <v>İç denetim</v>
      </c>
      <c r="K16" s="25" t="n">
        <f aca="false">IF($A16="","",IFERROR(INDEX(Denetimler!$B:$B,MATCH($A16,Denetimler!$A:$A,0)),"No yok"))</f>
        <v>46050</v>
      </c>
    </row>
    <row r="17" customFormat="false" ht="15" hidden="false" customHeight="false" outlineLevel="0" collapsed="false">
      <c r="A17" s="24" t="s">
        <v>124</v>
      </c>
      <c r="B17" s="24" t="s">
        <v>214</v>
      </c>
      <c r="C17" s="24" t="s">
        <v>206</v>
      </c>
      <c r="D17" s="19" t="str">
        <f aca="false">IF($B17="","",IFERROR(INDEX(Madde_Listesi!$C:$C,MATCH($B17,Madde_Listesi!$B:$B,0)),"Kod yok"))</f>
        <v>Sıcaklık kayıtları tam ve zamanında tutulmuş</v>
      </c>
      <c r="E17" s="19" t="str">
        <f aca="false">IF($B17="","",IFERROR(INDEX(Madde_Listesi!$D:$D,MATCH($B17,Madde_Listesi!$B:$B,0)),"Kod yok"))</f>
        <v>Sıcaklık</v>
      </c>
      <c r="F17" s="19" t="str">
        <f aca="false">IF($B17="","",IFERROR(INDEX(Madde_Listesi!$E:$E,MATCH($B17,Madde_Listesi!$B:$B,0)),"Kod yok"))</f>
        <v>Major</v>
      </c>
      <c r="G17" s="19" t="str">
        <f aca="false">IF($B17="","",IFERROR(INDEX(Madde_Listesi!$F:$F,MATCH($B17,Madde_Listesi!$B:$B,0)),"Kod yok"))</f>
        <v>Soğuk zincir ve sıcaklık kontrolü</v>
      </c>
      <c r="H17" s="19" t="str">
        <f aca="false">IF($A17="","",IFERROR(INDEX(Denetimler!$C:$C,MATCH($A17,Denetimler!$A:$A,0)),"No yok"))</f>
        <v>Mağaza B</v>
      </c>
      <c r="I17" s="19" t="str">
        <f aca="false">IF($A17="","",IFERROR(INDEX(Denetimler!$D:$D,MATCH($A17,Denetimler!$A:$A,0)),"No yok"))</f>
        <v>RSA</v>
      </c>
      <c r="J17" s="19" t="str">
        <f aca="false">IF($A17="","",IFERROR(INDEX(Denetimler!$E:$E,MATCH($A17,Denetimler!$A:$A,0)),"No yok"))</f>
        <v>İç denetim</v>
      </c>
      <c r="K17" s="25" t="n">
        <f aca="false">IF($A17="","",IFERROR(INDEX(Denetimler!$B:$B,MATCH($A17,Denetimler!$A:$A,0)),"No yok"))</f>
        <v>46053</v>
      </c>
    </row>
    <row r="18" customFormat="false" ht="15" hidden="false" customHeight="false" outlineLevel="0" collapsed="false">
      <c r="A18" s="24" t="s">
        <v>124</v>
      </c>
      <c r="B18" s="24" t="s">
        <v>214</v>
      </c>
      <c r="C18" s="24" t="s">
        <v>206</v>
      </c>
      <c r="D18" s="19" t="str">
        <f aca="false">IF($B18="","",IFERROR(INDEX(Madde_Listesi!$C:$C,MATCH($B18,Madde_Listesi!$B:$B,0)),"Kod yok"))</f>
        <v>Sıcaklık kayıtları tam ve zamanında tutulmuş</v>
      </c>
      <c r="E18" s="19" t="str">
        <f aca="false">IF($B18="","",IFERROR(INDEX(Madde_Listesi!$D:$D,MATCH($B18,Madde_Listesi!$B:$B,0)),"Kod yok"))</f>
        <v>Sıcaklık</v>
      </c>
      <c r="F18" s="19" t="str">
        <f aca="false">IF($B18="","",IFERROR(INDEX(Madde_Listesi!$E:$E,MATCH($B18,Madde_Listesi!$B:$B,0)),"Kod yok"))</f>
        <v>Major</v>
      </c>
      <c r="G18" s="19" t="str">
        <f aca="false">IF($B18="","",IFERROR(INDEX(Madde_Listesi!$F:$F,MATCH($B18,Madde_Listesi!$B:$B,0)),"Kod yok"))</f>
        <v>Soğuk zincir ve sıcaklık kontrolü</v>
      </c>
      <c r="H18" s="19" t="str">
        <f aca="false">IF($A18="","",IFERROR(INDEX(Denetimler!$C:$C,MATCH($A18,Denetimler!$A:$A,0)),"No yok"))</f>
        <v>Mağaza B</v>
      </c>
      <c r="I18" s="19" t="str">
        <f aca="false">IF($A18="","",IFERROR(INDEX(Denetimler!$D:$D,MATCH($A18,Denetimler!$A:$A,0)),"No yok"))</f>
        <v>RSA</v>
      </c>
      <c r="J18" s="19" t="str">
        <f aca="false">IF($A18="","",IFERROR(INDEX(Denetimler!$E:$E,MATCH($A18,Denetimler!$A:$A,0)),"No yok"))</f>
        <v>İç denetim</v>
      </c>
      <c r="K18" s="25" t="n">
        <f aca="false">IF($A18="","",IFERROR(INDEX(Denetimler!$B:$B,MATCH($A18,Denetimler!$A:$A,0)),"No yok"))</f>
        <v>46053</v>
      </c>
    </row>
    <row r="19" customFormat="false" ht="15" hidden="false" customHeight="false" outlineLevel="0" collapsed="false">
      <c r="A19" s="24" t="s">
        <v>124</v>
      </c>
      <c r="B19" s="24" t="s">
        <v>219</v>
      </c>
      <c r="C19" s="24" t="s">
        <v>206</v>
      </c>
      <c r="D19" s="19" t="str">
        <f aca="false">IF($B19="","",IFERROR(INDEX(Madde_Listesi!$C:$C,MATCH($B19,Madde_Listesi!$B:$B,0)),"Kod yok"))</f>
        <v>Depo ve arka alan duvar, zemin ve tavanları temiz ve sağlam</v>
      </c>
      <c r="E19" s="19" t="str">
        <f aca="false">IF($B19="","",IFERROR(INDEX(Madde_Listesi!$D:$D,MATCH($B19,Madde_Listesi!$B:$B,0)),"Kod yok"))</f>
        <v>Haşere</v>
      </c>
      <c r="F19" s="19" t="str">
        <f aca="false">IF($B19="","",IFERROR(INDEX(Madde_Listesi!$E:$E,MATCH($B19,Madde_Listesi!$B:$B,0)),"Kod yok"))</f>
        <v>Minör</v>
      </c>
      <c r="G19" s="19" t="str">
        <f aca="false">IF($B19="","",IFERROR(INDEX(Madde_Listesi!$F:$F,MATCH($B19,Madde_Listesi!$B:$B,0)),"Kod yok"))</f>
        <v>Haşere önleme</v>
      </c>
      <c r="H19" s="19" t="str">
        <f aca="false">IF($A19="","",IFERROR(INDEX(Denetimler!$C:$C,MATCH($A19,Denetimler!$A:$A,0)),"No yok"))</f>
        <v>Mağaza B</v>
      </c>
      <c r="I19" s="19" t="str">
        <f aca="false">IF($A19="","",IFERROR(INDEX(Denetimler!$D:$D,MATCH($A19,Denetimler!$A:$A,0)),"No yok"))</f>
        <v>RSA</v>
      </c>
      <c r="J19" s="19" t="str">
        <f aca="false">IF($A19="","",IFERROR(INDEX(Denetimler!$E:$E,MATCH($A19,Denetimler!$A:$A,0)),"No yok"))</f>
        <v>İç denetim</v>
      </c>
      <c r="K19" s="25" t="n">
        <f aca="false">IF($A19="","",IFERROR(INDEX(Denetimler!$B:$B,MATCH($A19,Denetimler!$A:$A,0)),"No yok"))</f>
        <v>46053</v>
      </c>
    </row>
    <row r="20" customFormat="false" ht="15" hidden="false" customHeight="false" outlineLevel="0" collapsed="false">
      <c r="A20" s="24" t="s">
        <v>135</v>
      </c>
      <c r="B20" s="24" t="s">
        <v>208</v>
      </c>
      <c r="C20" s="24" t="s">
        <v>206</v>
      </c>
      <c r="D20" s="19" t="str">
        <f aca="false">IF($B20="","",IFERROR(INDEX(Madde_Listesi!$C:$C,MATCH($B20,Madde_Listesi!$B:$B,0)),"Kod yok"))</f>
        <v>Salon ve misafir alanı temiz ve düzenli</v>
      </c>
      <c r="E20" s="19" t="str">
        <f aca="false">IF($B20="","",IFERROR(INDEX(Madde_Listesi!$D:$D,MATCH($B20,Madde_Listesi!$B:$B,0)),"Kod yok"))</f>
        <v>Misafir deneyimi</v>
      </c>
      <c r="F20" s="19" t="str">
        <f aca="false">IF($B20="","",IFERROR(INDEX(Madde_Listesi!$E:$E,MATCH($B20,Madde_Listesi!$B:$B,0)),"Kod yok"))</f>
        <v>Minör</v>
      </c>
      <c r="G20" s="19" t="str">
        <f aca="false">IF($B20="","",IFERROR(INDEX(Madde_Listesi!$F:$F,MATCH($B20,Madde_Listesi!$B:$B,0)),"Kod yok"))</f>
        <v>Mağaza standartları</v>
      </c>
      <c r="H20" s="19" t="str">
        <f aca="false">IF($A20="","",IFERROR(INDEX(Denetimler!$C:$C,MATCH($A20,Denetimler!$A:$A,0)),"No yok"))</f>
        <v>Mağaza C</v>
      </c>
      <c r="I20" s="19" t="str">
        <f aca="false">IF($A20="","",IFERROR(INDEX(Denetimler!$D:$D,MATCH($A20,Denetimler!$A:$A,0)),"No yok"))</f>
        <v>ASA</v>
      </c>
      <c r="J20" s="19" t="str">
        <f aca="false">IF($A20="","",IFERROR(INDEX(Denetimler!$E:$E,MATCH($A20,Denetimler!$A:$A,0)),"No yok"))</f>
        <v>İç denetim</v>
      </c>
      <c r="K20" s="25" t="n">
        <f aca="false">IF($A20="","",IFERROR(INDEX(Denetimler!$B:$B,MATCH($A20,Denetimler!$A:$A,0)),"No yok"))</f>
        <v>46078</v>
      </c>
    </row>
    <row r="21" customFormat="false" ht="15" hidden="false" customHeight="false" outlineLevel="0" collapsed="false">
      <c r="A21" s="24" t="s">
        <v>135</v>
      </c>
      <c r="B21" s="24" t="s">
        <v>220</v>
      </c>
      <c r="C21" s="24" t="s">
        <v>206</v>
      </c>
      <c r="D21" s="19" t="str">
        <f aca="false">IF($B21="","",IFERROR(INDEX(Madde_Listesi!$C:$C,MATCH($B21,Madde_Listesi!$B:$B,0)),"Kod yok"))</f>
        <v>Zorunlu eğitimler tamamlanmış</v>
      </c>
      <c r="E21" s="19" t="str">
        <f aca="false">IF($B21="","",IFERROR(INDEX(Madde_Listesi!$D:$D,MATCH($B21,Madde_Listesi!$B:$B,0)),"Kod yok"))</f>
        <v>Ekip</v>
      </c>
      <c r="F21" s="19" t="str">
        <f aca="false">IF($B21="","",IFERROR(INDEX(Madde_Listesi!$E:$E,MATCH($B21,Madde_Listesi!$B:$B,0)),"Kod yok"))</f>
        <v>Major</v>
      </c>
      <c r="G21" s="19" t="str">
        <f aca="false">IF($B21="","",IFERROR(INDEX(Madde_Listesi!$F:$F,MATCH($B21,Madde_Listesi!$B:$B,0)),"Kod yok"))</f>
        <v>Eğitim takibi</v>
      </c>
      <c r="H21" s="19" t="str">
        <f aca="false">IF($A21="","",IFERROR(INDEX(Denetimler!$C:$C,MATCH($A21,Denetimler!$A:$A,0)),"No yok"))</f>
        <v>Mağaza C</v>
      </c>
      <c r="I21" s="19" t="str">
        <f aca="false">IF($A21="","",IFERROR(INDEX(Denetimler!$D:$D,MATCH($A21,Denetimler!$A:$A,0)),"No yok"))</f>
        <v>ASA</v>
      </c>
      <c r="J21" s="19" t="str">
        <f aca="false">IF($A21="","",IFERROR(INDEX(Denetimler!$E:$E,MATCH($A21,Denetimler!$A:$A,0)),"No yok"))</f>
        <v>İç denetim</v>
      </c>
      <c r="K21" s="25" t="n">
        <f aca="false">IF($A21="","",IFERROR(INDEX(Denetimler!$B:$B,MATCH($A21,Denetimler!$A:$A,0)),"No yok"))</f>
        <v>46078</v>
      </c>
    </row>
    <row r="22" customFormat="false" ht="15" hidden="false" customHeight="false" outlineLevel="0" collapsed="false">
      <c r="A22" s="24" t="s">
        <v>135</v>
      </c>
      <c r="B22" s="24" t="s">
        <v>205</v>
      </c>
      <c r="C22" s="24" t="s">
        <v>206</v>
      </c>
      <c r="D22" s="19" t="str">
        <f aca="false">IF($B22="","",IFERROR(INDEX(Madde_Listesi!$C:$C,MATCH($B22,Madde_Listesi!$B:$B,0)),"Kod yok"))</f>
        <v>Stok sayımı ve sipariş kayıtları tutarlı</v>
      </c>
      <c r="E22" s="19" t="str">
        <f aca="false">IF($B22="","",IFERROR(INDEX(Madde_Listesi!$D:$D,MATCH($B22,Madde_Listesi!$B:$B,0)),"Kod yok"))</f>
        <v>Stok</v>
      </c>
      <c r="F22" s="19" t="str">
        <f aca="false">IF($B22="","",IFERROR(INDEX(Madde_Listesi!$E:$E,MATCH($B22,Madde_Listesi!$B:$B,0)),"Kod yok"))</f>
        <v>Major</v>
      </c>
      <c r="G22" s="19" t="str">
        <f aca="false">IF($B22="","",IFERROR(INDEX(Madde_Listesi!$F:$F,MATCH($B22,Madde_Listesi!$B:$B,0)),"Kod yok"))</f>
        <v>Stok ve sipariş yönetimi</v>
      </c>
      <c r="H22" s="19" t="str">
        <f aca="false">IF($A22="","",IFERROR(INDEX(Denetimler!$C:$C,MATCH($A22,Denetimler!$A:$A,0)),"No yok"))</f>
        <v>Mağaza C</v>
      </c>
      <c r="I22" s="19" t="str">
        <f aca="false">IF($A22="","",IFERROR(INDEX(Denetimler!$D:$D,MATCH($A22,Denetimler!$A:$A,0)),"No yok"))</f>
        <v>ASA</v>
      </c>
      <c r="J22" s="19" t="str">
        <f aca="false">IF($A22="","",IFERROR(INDEX(Denetimler!$E:$E,MATCH($A22,Denetimler!$A:$A,0)),"No yok"))</f>
        <v>İç denetim</v>
      </c>
      <c r="K22" s="25" t="n">
        <f aca="false">IF($A22="","",IFERROR(INDEX(Denetimler!$B:$B,MATCH($A22,Denetimler!$A:$A,0)),"No yok"))</f>
        <v>46078</v>
      </c>
    </row>
    <row r="23" customFormat="false" ht="15" hidden="false" customHeight="false" outlineLevel="0" collapsed="false">
      <c r="A23" s="24" t="s">
        <v>135</v>
      </c>
      <c r="B23" s="24" t="s">
        <v>215</v>
      </c>
      <c r="C23" s="24" t="s">
        <v>206</v>
      </c>
      <c r="D23" s="19" t="str">
        <f aca="false">IF($B23="","",IFERROR(INDEX(Madde_Listesi!$C:$C,MATCH($B23,Madde_Listesi!$B:$B,0)),"Kod yok"))</f>
        <v>Ekipman bakım kayıtları güncel</v>
      </c>
      <c r="E23" s="19" t="str">
        <f aca="false">IF($B23="","",IFERROR(INDEX(Madde_Listesi!$D:$D,MATCH($B23,Madde_Listesi!$B:$B,0)),"Kod yok"))</f>
        <v>Ekipman</v>
      </c>
      <c r="F23" s="19" t="str">
        <f aca="false">IF($B23="","",IFERROR(INDEX(Madde_Listesi!$E:$E,MATCH($B23,Madde_Listesi!$B:$B,0)),"Kod yok"))</f>
        <v>Minör</v>
      </c>
      <c r="G23" s="19" t="str">
        <f aca="false">IF($B23="","",IFERROR(INDEX(Madde_Listesi!$F:$F,MATCH($B23,Madde_Listesi!$B:$B,0)),"Kod yok"))</f>
        <v>Ekipman bakımı</v>
      </c>
      <c r="H23" s="19" t="str">
        <f aca="false">IF($A23="","",IFERROR(INDEX(Denetimler!$C:$C,MATCH($A23,Denetimler!$A:$A,0)),"No yok"))</f>
        <v>Mağaza C</v>
      </c>
      <c r="I23" s="19" t="str">
        <f aca="false">IF($A23="","",IFERROR(INDEX(Denetimler!$D:$D,MATCH($A23,Denetimler!$A:$A,0)),"No yok"))</f>
        <v>ASA</v>
      </c>
      <c r="J23" s="19" t="str">
        <f aca="false">IF($A23="","",IFERROR(INDEX(Denetimler!$E:$E,MATCH($A23,Denetimler!$A:$A,0)),"No yok"))</f>
        <v>İç denetim</v>
      </c>
      <c r="K23" s="25" t="n">
        <f aca="false">IF($A23="","",IFERROR(INDEX(Denetimler!$B:$B,MATCH($A23,Denetimler!$A:$A,0)),"No yok"))</f>
        <v>46078</v>
      </c>
    </row>
    <row r="24" customFormat="false" ht="15" hidden="false" customHeight="false" outlineLevel="0" collapsed="false">
      <c r="A24" s="24" t="s">
        <v>135</v>
      </c>
      <c r="B24" s="24" t="s">
        <v>205</v>
      </c>
      <c r="C24" s="24" t="s">
        <v>206</v>
      </c>
      <c r="D24" s="19" t="str">
        <f aca="false">IF($B24="","",IFERROR(INDEX(Madde_Listesi!$C:$C,MATCH($B24,Madde_Listesi!$B:$B,0)),"Kod yok"))</f>
        <v>Stok sayımı ve sipariş kayıtları tutarlı</v>
      </c>
      <c r="E24" s="19" t="str">
        <f aca="false">IF($B24="","",IFERROR(INDEX(Madde_Listesi!$D:$D,MATCH($B24,Madde_Listesi!$B:$B,0)),"Kod yok"))</f>
        <v>Stok</v>
      </c>
      <c r="F24" s="19" t="str">
        <f aca="false">IF($B24="","",IFERROR(INDEX(Madde_Listesi!$E:$E,MATCH($B24,Madde_Listesi!$B:$B,0)),"Kod yok"))</f>
        <v>Major</v>
      </c>
      <c r="G24" s="19" t="str">
        <f aca="false">IF($B24="","",IFERROR(INDEX(Madde_Listesi!$F:$F,MATCH($B24,Madde_Listesi!$B:$B,0)),"Kod yok"))</f>
        <v>Stok ve sipariş yönetimi</v>
      </c>
      <c r="H24" s="19" t="str">
        <f aca="false">IF($A24="","",IFERROR(INDEX(Denetimler!$C:$C,MATCH($A24,Denetimler!$A:$A,0)),"No yok"))</f>
        <v>Mağaza C</v>
      </c>
      <c r="I24" s="19" t="str">
        <f aca="false">IF($A24="","",IFERROR(INDEX(Denetimler!$D:$D,MATCH($A24,Denetimler!$A:$A,0)),"No yok"))</f>
        <v>ASA</v>
      </c>
      <c r="J24" s="19" t="str">
        <f aca="false">IF($A24="","",IFERROR(INDEX(Denetimler!$E:$E,MATCH($A24,Denetimler!$A:$A,0)),"No yok"))</f>
        <v>İç denetim</v>
      </c>
      <c r="K24" s="25" t="n">
        <f aca="false">IF($A24="","",IFERROR(INDEX(Denetimler!$B:$B,MATCH($A24,Denetimler!$A:$A,0)),"No yok"))</f>
        <v>46078</v>
      </c>
    </row>
    <row r="25" customFormat="false" ht="15" hidden="false" customHeight="false" outlineLevel="0" collapsed="false">
      <c r="A25" s="24" t="s">
        <v>131</v>
      </c>
      <c r="B25" s="24" t="s">
        <v>218</v>
      </c>
      <c r="C25" s="24" t="s">
        <v>206</v>
      </c>
      <c r="D25" s="19" t="str">
        <f aca="false">IF($B25="","",IFERROR(INDEX(Madde_Listesi!$C:$C,MATCH($B25,Madde_Listesi!$B:$B,0)),"Kod yok"))</f>
        <v>Depo ve kasa anahtarları yetkili kişide</v>
      </c>
      <c r="E25" s="19" t="str">
        <f aca="false">IF($B25="","",IFERROR(INDEX(Madde_Listesi!$D:$D,MATCH($B25,Madde_Listesi!$B:$B,0)),"Kod yok"))</f>
        <v>Güvenlik</v>
      </c>
      <c r="F25" s="19" t="str">
        <f aca="false">IF($B25="","",IFERROR(INDEX(Madde_Listesi!$E:$E,MATCH($B25,Madde_Listesi!$B:$B,0)),"Kod yok"))</f>
        <v>Major</v>
      </c>
      <c r="G25" s="19" t="str">
        <f aca="false">IF($B25="","",IFERROR(INDEX(Madde_Listesi!$F:$F,MATCH($B25,Madde_Listesi!$B:$B,0)),"Kod yok"))</f>
        <v>Mağaza güvenliği</v>
      </c>
      <c r="H25" s="19" t="str">
        <f aca="false">IF($A25="","",IFERROR(INDEX(Denetimler!$C:$C,MATCH($A25,Denetimler!$A:$A,0)),"No yok"))</f>
        <v>Mağaza C</v>
      </c>
      <c r="I25" s="19" t="str">
        <f aca="false">IF($A25="","",IFERROR(INDEX(Denetimler!$D:$D,MATCH($A25,Denetimler!$A:$A,0)),"No yok"))</f>
        <v>PAP</v>
      </c>
      <c r="J25" s="19" t="str">
        <f aca="false">IF($A25="","",IFERROR(INDEX(Denetimler!$E:$E,MATCH($A25,Denetimler!$A:$A,0)),"No yok"))</f>
        <v>İç denetim</v>
      </c>
      <c r="K25" s="25" t="n">
        <f aca="false">IF($A25="","",IFERROR(INDEX(Denetimler!$B:$B,MATCH($A25,Denetimler!$A:$A,0)),"No yok"))</f>
        <v>46069</v>
      </c>
    </row>
    <row r="26" customFormat="false" ht="15" hidden="false" customHeight="false" outlineLevel="0" collapsed="false">
      <c r="A26" s="24" t="s">
        <v>131</v>
      </c>
      <c r="B26" s="24" t="s">
        <v>221</v>
      </c>
      <c r="C26" s="24" t="s">
        <v>206</v>
      </c>
      <c r="D26" s="19" t="str">
        <f aca="false">IF($B26="","",IFERROR(INDEX(Madde_Listesi!$C:$C,MATCH($B26,Madde_Listesi!$B:$B,0)),"Kod yok"))</f>
        <v>Kasa limitinin üzerindeki nakit zamanında kasaya aktarılıyor</v>
      </c>
      <c r="E26" s="19" t="str">
        <f aca="false">IF($B26="","",IFERROR(INDEX(Madde_Listesi!$D:$D,MATCH($B26,Madde_Listesi!$B:$B,0)),"Kod yok"))</f>
        <v>Nakit</v>
      </c>
      <c r="F26" s="19" t="str">
        <f aca="false">IF($B26="","",IFERROR(INDEX(Madde_Listesi!$E:$E,MATCH($B26,Madde_Listesi!$B:$B,0)),"Kod yok"))</f>
        <v>Major</v>
      </c>
      <c r="G26" s="19" t="str">
        <f aca="false">IF($B26="","",IFERROR(INDEX(Madde_Listesi!$F:$F,MATCH($B26,Madde_Listesi!$B:$B,0)),"Kod yok"))</f>
        <v>Kasa prosedürleri</v>
      </c>
      <c r="H26" s="19" t="str">
        <f aca="false">IF($A26="","",IFERROR(INDEX(Denetimler!$C:$C,MATCH($A26,Denetimler!$A:$A,0)),"No yok"))</f>
        <v>Mağaza C</v>
      </c>
      <c r="I26" s="19" t="str">
        <f aca="false">IF($A26="","",IFERROR(INDEX(Denetimler!$D:$D,MATCH($A26,Denetimler!$A:$A,0)),"No yok"))</f>
        <v>PAP</v>
      </c>
      <c r="J26" s="19" t="str">
        <f aca="false">IF($A26="","",IFERROR(INDEX(Denetimler!$E:$E,MATCH($A26,Denetimler!$A:$A,0)),"No yok"))</f>
        <v>İç denetim</v>
      </c>
      <c r="K26" s="25" t="n">
        <f aca="false">IF($A26="","",IFERROR(INDEX(Denetimler!$B:$B,MATCH($A26,Denetimler!$A:$A,0)),"No yok"))</f>
        <v>46069</v>
      </c>
    </row>
    <row r="27" customFormat="false" ht="15" hidden="false" customHeight="false" outlineLevel="0" collapsed="false">
      <c r="A27" s="24" t="s">
        <v>132</v>
      </c>
      <c r="B27" s="24" t="s">
        <v>222</v>
      </c>
      <c r="C27" s="24" t="s">
        <v>206</v>
      </c>
      <c r="D27" s="19" t="str">
        <f aca="false">IF($B27="","",IFERROR(INDEX(Madde_Listesi!$C:$C,MATCH($B27,Madde_Listesi!$B:$B,0)),"Kod yok"))</f>
        <v>Çalışan takı ve kişisel hijyen kurallarına uyuyor</v>
      </c>
      <c r="E27" s="19" t="str">
        <f aca="false">IF($B27="","",IFERROR(INDEX(Madde_Listesi!$D:$D,MATCH($B27,Madde_Listesi!$B:$B,0)),"Kod yok"))</f>
        <v>Partner</v>
      </c>
      <c r="F27" s="19" t="str">
        <f aca="false">IF($B27="","",IFERROR(INDEX(Madde_Listesi!$E:$E,MATCH($B27,Madde_Listesi!$B:$B,0)),"Kod yok"))</f>
        <v>Major</v>
      </c>
      <c r="G27" s="19" t="str">
        <f aca="false">IF($B27="","",IFERROR(INDEX(Madde_Listesi!$F:$F,MATCH($B27,Madde_Listesi!$B:$B,0)),"Kod yok"))</f>
        <v>Kişisel hijyen</v>
      </c>
      <c r="H27" s="19" t="str">
        <f aca="false">IF($A27="","",IFERROR(INDEX(Denetimler!$C:$C,MATCH($A27,Denetimler!$A:$A,0)),"No yok"))</f>
        <v>Mağaza C</v>
      </c>
      <c r="I27" s="19" t="str">
        <f aca="false">IF($A27="","",IFERROR(INDEX(Denetimler!$D:$D,MATCH($A27,Denetimler!$A:$A,0)),"No yok"))</f>
        <v>RSA</v>
      </c>
      <c r="J27" s="19" t="str">
        <f aca="false">IF($A27="","",IFERROR(INDEX(Denetimler!$E:$E,MATCH($A27,Denetimler!$A:$A,0)),"No yok"))</f>
        <v>İç denetim</v>
      </c>
      <c r="K27" s="25" t="n">
        <f aca="false">IF($A27="","",IFERROR(INDEX(Denetimler!$B:$B,MATCH($A27,Denetimler!$A:$A,0)),"No yok"))</f>
        <v>46069</v>
      </c>
    </row>
    <row r="28" customFormat="false" ht="15" hidden="false" customHeight="false" outlineLevel="0" collapsed="false">
      <c r="A28" s="24" t="s">
        <v>132</v>
      </c>
      <c r="B28" s="24" t="s">
        <v>211</v>
      </c>
      <c r="C28" s="24" t="s">
        <v>206</v>
      </c>
      <c r="D28" s="19" t="str">
        <f aca="false">IF($B28="","",IFERROR(INDEX(Madde_Listesi!$C:$C,MATCH($B28,Madde_Listesi!$B:$B,0)),"Kod yok"))</f>
        <v>Haşere girişini önleyen önlemler yerinde</v>
      </c>
      <c r="E28" s="19" t="str">
        <f aca="false">IF($B28="","",IFERROR(INDEX(Madde_Listesi!$D:$D,MATCH($B28,Madde_Listesi!$B:$B,0)),"Kod yok"))</f>
        <v>Haşere</v>
      </c>
      <c r="F28" s="19" t="str">
        <f aca="false">IF($B28="","",IFERROR(INDEX(Madde_Listesi!$E:$E,MATCH($B28,Madde_Listesi!$B:$B,0)),"Kod yok"))</f>
        <v>Major</v>
      </c>
      <c r="G28" s="19" t="str">
        <f aca="false">IF($B28="","",IFERROR(INDEX(Madde_Listesi!$F:$F,MATCH($B28,Madde_Listesi!$B:$B,0)),"Kod yok"))</f>
        <v>Haşere önleme</v>
      </c>
      <c r="H28" s="19" t="str">
        <f aca="false">IF($A28="","",IFERROR(INDEX(Denetimler!$C:$C,MATCH($A28,Denetimler!$A:$A,0)),"No yok"))</f>
        <v>Mağaza C</v>
      </c>
      <c r="I28" s="19" t="str">
        <f aca="false">IF($A28="","",IFERROR(INDEX(Denetimler!$D:$D,MATCH($A28,Denetimler!$A:$A,0)),"No yok"))</f>
        <v>RSA</v>
      </c>
      <c r="J28" s="19" t="str">
        <f aca="false">IF($A28="","",IFERROR(INDEX(Denetimler!$E:$E,MATCH($A28,Denetimler!$A:$A,0)),"No yok"))</f>
        <v>İç denetim</v>
      </c>
      <c r="K28" s="25" t="n">
        <f aca="false">IF($A28="","",IFERROR(INDEX(Denetimler!$B:$B,MATCH($A28,Denetimler!$A:$A,0)),"No yok"))</f>
        <v>46069</v>
      </c>
    </row>
    <row r="29" customFormat="false" ht="15" hidden="false" customHeight="false" outlineLevel="0" collapsed="false">
      <c r="A29" s="24" t="s">
        <v>132</v>
      </c>
      <c r="B29" s="24" t="s">
        <v>214</v>
      </c>
      <c r="C29" s="24" t="s">
        <v>206</v>
      </c>
      <c r="D29" s="19" t="str">
        <f aca="false">IF($B29="","",IFERROR(INDEX(Madde_Listesi!$C:$C,MATCH($B29,Madde_Listesi!$B:$B,0)),"Kod yok"))</f>
        <v>Sıcaklık kayıtları tam ve zamanında tutulmuş</v>
      </c>
      <c r="E29" s="19" t="str">
        <f aca="false">IF($B29="","",IFERROR(INDEX(Madde_Listesi!$D:$D,MATCH($B29,Madde_Listesi!$B:$B,0)),"Kod yok"))</f>
        <v>Sıcaklık</v>
      </c>
      <c r="F29" s="19" t="str">
        <f aca="false">IF($B29="","",IFERROR(INDEX(Madde_Listesi!$E:$E,MATCH($B29,Madde_Listesi!$B:$B,0)),"Kod yok"))</f>
        <v>Major</v>
      </c>
      <c r="G29" s="19" t="str">
        <f aca="false">IF($B29="","",IFERROR(INDEX(Madde_Listesi!$F:$F,MATCH($B29,Madde_Listesi!$B:$B,0)),"Kod yok"))</f>
        <v>Soğuk zincir ve sıcaklık kontrolü</v>
      </c>
      <c r="H29" s="19" t="str">
        <f aca="false">IF($A29="","",IFERROR(INDEX(Denetimler!$C:$C,MATCH($A29,Denetimler!$A:$A,0)),"No yok"))</f>
        <v>Mağaza C</v>
      </c>
      <c r="I29" s="19" t="str">
        <f aca="false">IF($A29="","",IFERROR(INDEX(Denetimler!$D:$D,MATCH($A29,Denetimler!$A:$A,0)),"No yok"))</f>
        <v>RSA</v>
      </c>
      <c r="J29" s="19" t="str">
        <f aca="false">IF($A29="","",IFERROR(INDEX(Denetimler!$E:$E,MATCH($A29,Denetimler!$A:$A,0)),"No yok"))</f>
        <v>İç denetim</v>
      </c>
      <c r="K29" s="25" t="n">
        <f aca="false">IF($A29="","",IFERROR(INDEX(Denetimler!$B:$B,MATCH($A29,Denetimler!$A:$A,0)),"No yok"))</f>
        <v>46069</v>
      </c>
    </row>
    <row r="30" customFormat="false" ht="15" hidden="false" customHeight="false" outlineLevel="0" collapsed="false">
      <c r="A30" s="24" t="s">
        <v>132</v>
      </c>
      <c r="B30" s="24" t="s">
        <v>223</v>
      </c>
      <c r="C30" s="24" t="s">
        <v>206</v>
      </c>
      <c r="D30" s="19" t="str">
        <f aca="false">IF($B30="","",IFERROR(INDEX(Madde_Listesi!$C:$C,MATCH($B30,Madde_Listesi!$B:$B,0)),"Kod yok"))</f>
        <v>Ürünlerin son kullanma tarihleri geçerli ve etiketli</v>
      </c>
      <c r="E30" s="19" t="str">
        <f aca="false">IF($B30="","",IFERROR(INDEX(Madde_Listesi!$D:$D,MATCH($B30,Madde_Listesi!$B:$B,0)),"Kod yok"))</f>
        <v>Bulaşma</v>
      </c>
      <c r="F30" s="19" t="str">
        <f aca="false">IF($B30="","",IFERROR(INDEX(Madde_Listesi!$E:$E,MATCH($B30,Madde_Listesi!$B:$B,0)),"Kod yok"))</f>
        <v>Kritik</v>
      </c>
      <c r="G30" s="19" t="str">
        <f aca="false">IF($B30="","",IFERROR(INDEX(Madde_Listesi!$F:$F,MATCH($B30,Madde_Listesi!$B:$B,0)),"Kod yok"))</f>
        <v>Ürün tarihleme ve etiketleme</v>
      </c>
      <c r="H30" s="19" t="str">
        <f aca="false">IF($A30="","",IFERROR(INDEX(Denetimler!$C:$C,MATCH($A30,Denetimler!$A:$A,0)),"No yok"))</f>
        <v>Mağaza C</v>
      </c>
      <c r="I30" s="19" t="str">
        <f aca="false">IF($A30="","",IFERROR(INDEX(Denetimler!$D:$D,MATCH($A30,Denetimler!$A:$A,0)),"No yok"))</f>
        <v>RSA</v>
      </c>
      <c r="J30" s="19" t="str">
        <f aca="false">IF($A30="","",IFERROR(INDEX(Denetimler!$E:$E,MATCH($A30,Denetimler!$A:$A,0)),"No yok"))</f>
        <v>İç denetim</v>
      </c>
      <c r="K30" s="25" t="n">
        <f aca="false">IF($A30="","",IFERROR(INDEX(Denetimler!$B:$B,MATCH($A30,Denetimler!$A:$A,0)),"No yok"))</f>
        <v>46069</v>
      </c>
    </row>
    <row r="31" customFormat="false" ht="15" hidden="false" customHeight="false" outlineLevel="0" collapsed="false">
      <c r="A31" s="24" t="s">
        <v>132</v>
      </c>
      <c r="B31" s="24" t="s">
        <v>210</v>
      </c>
      <c r="C31" s="24" t="s">
        <v>206</v>
      </c>
      <c r="D31" s="19" t="str">
        <f aca="false">IF($B31="","",IFERROR(INDEX(Madde_Listesi!$C:$C,MATCH($B31,Madde_Listesi!$B:$B,0)),"Kod yok"))</f>
        <v>Kimyasallar etiketli ve gıdadan ayrı saklanıyor</v>
      </c>
      <c r="E31" s="19" t="str">
        <f aca="false">IF($B31="","",IFERROR(INDEX(Madde_Listesi!$D:$D,MATCH($B31,Madde_Listesi!$B:$B,0)),"Kod yok"))</f>
        <v>Bulaşma</v>
      </c>
      <c r="F31" s="19" t="str">
        <f aca="false">IF($B31="","",IFERROR(INDEX(Madde_Listesi!$E:$E,MATCH($B31,Madde_Listesi!$B:$B,0)),"Kod yok"))</f>
        <v>Major</v>
      </c>
      <c r="G31" s="19" t="str">
        <f aca="false">IF($B31="","",IFERROR(INDEX(Madde_Listesi!$F:$F,MATCH($B31,Madde_Listesi!$B:$B,0)),"Kod yok"))</f>
        <v>Kimyasal güvenliği</v>
      </c>
      <c r="H31" s="19" t="str">
        <f aca="false">IF($A31="","",IFERROR(INDEX(Denetimler!$C:$C,MATCH($A31,Denetimler!$A:$A,0)),"No yok"))</f>
        <v>Mağaza C</v>
      </c>
      <c r="I31" s="19" t="str">
        <f aca="false">IF($A31="","",IFERROR(INDEX(Denetimler!$D:$D,MATCH($A31,Denetimler!$A:$A,0)),"No yok"))</f>
        <v>RSA</v>
      </c>
      <c r="J31" s="19" t="str">
        <f aca="false">IF($A31="","",IFERROR(INDEX(Denetimler!$E:$E,MATCH($A31,Denetimler!$A:$A,0)),"No yok"))</f>
        <v>İç denetim</v>
      </c>
      <c r="K31" s="25" t="n">
        <f aca="false">IF($A31="","",IFERROR(INDEX(Denetimler!$B:$B,MATCH($A31,Denetimler!$A:$A,0)),"No yok"))</f>
        <v>46069</v>
      </c>
    </row>
    <row r="32" customFormat="false" ht="15" hidden="false" customHeight="false" outlineLevel="0" collapsed="false">
      <c r="A32" s="24" t="s">
        <v>132</v>
      </c>
      <c r="B32" s="24" t="s">
        <v>213</v>
      </c>
      <c r="C32" s="24" t="s">
        <v>206</v>
      </c>
      <c r="D32" s="19" t="str">
        <f aca="false">IF($B32="","",IFERROR(INDEX(Madde_Listesi!$C:$C,MATCH($B32,Madde_Listesi!$B:$B,0)),"Kod yok"))</f>
        <v>Soğutucular uygun sıcaklıkta</v>
      </c>
      <c r="E32" s="19" t="str">
        <f aca="false">IF($B32="","",IFERROR(INDEX(Madde_Listesi!$D:$D,MATCH($B32,Madde_Listesi!$B:$B,0)),"Kod yok"))</f>
        <v>Sıcaklık</v>
      </c>
      <c r="F32" s="19" t="str">
        <f aca="false">IF($B32="","",IFERROR(INDEX(Madde_Listesi!$E:$E,MATCH($B32,Madde_Listesi!$B:$B,0)),"Kod yok"))</f>
        <v>Kritik</v>
      </c>
      <c r="G32" s="19" t="str">
        <f aca="false">IF($B32="","",IFERROR(INDEX(Madde_Listesi!$F:$F,MATCH($B32,Madde_Listesi!$B:$B,0)),"Kod yok"))</f>
        <v>Soğuk zincir ve sıcaklık kontrolü</v>
      </c>
      <c r="H32" s="19" t="str">
        <f aca="false">IF($A32="","",IFERROR(INDEX(Denetimler!$C:$C,MATCH($A32,Denetimler!$A:$A,0)),"No yok"))</f>
        <v>Mağaza C</v>
      </c>
      <c r="I32" s="19" t="str">
        <f aca="false">IF($A32="","",IFERROR(INDEX(Denetimler!$D:$D,MATCH($A32,Denetimler!$A:$A,0)),"No yok"))</f>
        <v>RSA</v>
      </c>
      <c r="J32" s="19" t="str">
        <f aca="false">IF($A32="","",IFERROR(INDEX(Denetimler!$E:$E,MATCH($A32,Denetimler!$A:$A,0)),"No yok"))</f>
        <v>İç denetim</v>
      </c>
      <c r="K32" s="25" t="n">
        <f aca="false">IF($A32="","",IFERROR(INDEX(Denetimler!$B:$B,MATCH($A32,Denetimler!$A:$A,0)),"No yok"))</f>
        <v>46069</v>
      </c>
    </row>
    <row r="33" customFormat="false" ht="15" hidden="false" customHeight="false" outlineLevel="0" collapsed="false">
      <c r="A33" s="24" t="s">
        <v>129</v>
      </c>
      <c r="B33" s="24" t="s">
        <v>205</v>
      </c>
      <c r="C33" s="24" t="s">
        <v>206</v>
      </c>
      <c r="D33" s="19" t="str">
        <f aca="false">IF($B33="","",IFERROR(INDEX(Madde_Listesi!$C:$C,MATCH($B33,Madde_Listesi!$B:$B,0)),"Kod yok"))</f>
        <v>Stok sayımı ve sipariş kayıtları tutarlı</v>
      </c>
      <c r="E33" s="19" t="str">
        <f aca="false">IF($B33="","",IFERROR(INDEX(Madde_Listesi!$D:$D,MATCH($B33,Madde_Listesi!$B:$B,0)),"Kod yok"))</f>
        <v>Stok</v>
      </c>
      <c r="F33" s="19" t="str">
        <f aca="false">IF($B33="","",IFERROR(INDEX(Madde_Listesi!$E:$E,MATCH($B33,Madde_Listesi!$B:$B,0)),"Kod yok"))</f>
        <v>Major</v>
      </c>
      <c r="G33" s="19" t="str">
        <f aca="false">IF($B33="","",IFERROR(INDEX(Madde_Listesi!$F:$F,MATCH($B33,Madde_Listesi!$B:$B,0)),"Kod yok"))</f>
        <v>Stok ve sipariş yönetimi</v>
      </c>
      <c r="H33" s="19" t="str">
        <f aca="false">IF($A33="","",IFERROR(INDEX(Denetimler!$C:$C,MATCH($A33,Denetimler!$A:$A,0)),"No yok"))</f>
        <v>Mağaza D</v>
      </c>
      <c r="I33" s="19" t="str">
        <f aca="false">IF($A33="","",IFERROR(INDEX(Denetimler!$D:$D,MATCH($A33,Denetimler!$A:$A,0)),"No yok"))</f>
        <v>ASA</v>
      </c>
      <c r="J33" s="19" t="str">
        <f aca="false">IF($A33="","",IFERROR(INDEX(Denetimler!$E:$E,MATCH($A33,Denetimler!$A:$A,0)),"No yok"))</f>
        <v>İç denetim</v>
      </c>
      <c r="K33" s="25" t="n">
        <f aca="false">IF($A33="","",IFERROR(INDEX(Denetimler!$B:$B,MATCH($A33,Denetimler!$A:$A,0)),"No yok"))</f>
        <v>46066</v>
      </c>
    </row>
    <row r="34" customFormat="false" ht="15" hidden="false" customHeight="false" outlineLevel="0" collapsed="false">
      <c r="A34" s="24" t="s">
        <v>129</v>
      </c>
      <c r="B34" s="24" t="s">
        <v>205</v>
      </c>
      <c r="C34" s="24" t="s">
        <v>206</v>
      </c>
      <c r="D34" s="19" t="str">
        <f aca="false">IF($B34="","",IFERROR(INDEX(Madde_Listesi!$C:$C,MATCH($B34,Madde_Listesi!$B:$B,0)),"Kod yok"))</f>
        <v>Stok sayımı ve sipariş kayıtları tutarlı</v>
      </c>
      <c r="E34" s="19" t="str">
        <f aca="false">IF($B34="","",IFERROR(INDEX(Madde_Listesi!$D:$D,MATCH($B34,Madde_Listesi!$B:$B,0)),"Kod yok"))</f>
        <v>Stok</v>
      </c>
      <c r="F34" s="19" t="str">
        <f aca="false">IF($B34="","",IFERROR(INDEX(Madde_Listesi!$E:$E,MATCH($B34,Madde_Listesi!$B:$B,0)),"Kod yok"))</f>
        <v>Major</v>
      </c>
      <c r="G34" s="19" t="str">
        <f aca="false">IF($B34="","",IFERROR(INDEX(Madde_Listesi!$F:$F,MATCH($B34,Madde_Listesi!$B:$B,0)),"Kod yok"))</f>
        <v>Stok ve sipariş yönetimi</v>
      </c>
      <c r="H34" s="19" t="str">
        <f aca="false">IF($A34="","",IFERROR(INDEX(Denetimler!$C:$C,MATCH($A34,Denetimler!$A:$A,0)),"No yok"))</f>
        <v>Mağaza D</v>
      </c>
      <c r="I34" s="19" t="str">
        <f aca="false">IF($A34="","",IFERROR(INDEX(Denetimler!$D:$D,MATCH($A34,Denetimler!$A:$A,0)),"No yok"))</f>
        <v>ASA</v>
      </c>
      <c r="J34" s="19" t="str">
        <f aca="false">IF($A34="","",IFERROR(INDEX(Denetimler!$E:$E,MATCH($A34,Denetimler!$A:$A,0)),"No yok"))</f>
        <v>İç denetim</v>
      </c>
      <c r="K34" s="25" t="n">
        <f aca="false">IF($A34="","",IFERROR(INDEX(Denetimler!$B:$B,MATCH($A34,Denetimler!$A:$A,0)),"No yok"))</f>
        <v>46066</v>
      </c>
    </row>
    <row r="35" customFormat="false" ht="15" hidden="false" customHeight="false" outlineLevel="0" collapsed="false">
      <c r="A35" s="24" t="s">
        <v>129</v>
      </c>
      <c r="B35" s="24" t="s">
        <v>205</v>
      </c>
      <c r="C35" s="24" t="s">
        <v>206</v>
      </c>
      <c r="D35" s="19" t="str">
        <f aca="false">IF($B35="","",IFERROR(INDEX(Madde_Listesi!$C:$C,MATCH($B35,Madde_Listesi!$B:$B,0)),"Kod yok"))</f>
        <v>Stok sayımı ve sipariş kayıtları tutarlı</v>
      </c>
      <c r="E35" s="19" t="str">
        <f aca="false">IF($B35="","",IFERROR(INDEX(Madde_Listesi!$D:$D,MATCH($B35,Madde_Listesi!$B:$B,0)),"Kod yok"))</f>
        <v>Stok</v>
      </c>
      <c r="F35" s="19" t="str">
        <f aca="false">IF($B35="","",IFERROR(INDEX(Madde_Listesi!$E:$E,MATCH($B35,Madde_Listesi!$B:$B,0)),"Kod yok"))</f>
        <v>Major</v>
      </c>
      <c r="G35" s="19" t="str">
        <f aca="false">IF($B35="","",IFERROR(INDEX(Madde_Listesi!$F:$F,MATCH($B35,Madde_Listesi!$B:$B,0)),"Kod yok"))</f>
        <v>Stok ve sipariş yönetimi</v>
      </c>
      <c r="H35" s="19" t="str">
        <f aca="false">IF($A35="","",IFERROR(INDEX(Denetimler!$C:$C,MATCH($A35,Denetimler!$A:$A,0)),"No yok"))</f>
        <v>Mağaza D</v>
      </c>
      <c r="I35" s="19" t="str">
        <f aca="false">IF($A35="","",IFERROR(INDEX(Denetimler!$D:$D,MATCH($A35,Denetimler!$A:$A,0)),"No yok"))</f>
        <v>ASA</v>
      </c>
      <c r="J35" s="19" t="str">
        <f aca="false">IF($A35="","",IFERROR(INDEX(Denetimler!$E:$E,MATCH($A35,Denetimler!$A:$A,0)),"No yok"))</f>
        <v>İç denetim</v>
      </c>
      <c r="K35" s="25" t="n">
        <f aca="false">IF($A35="","",IFERROR(INDEX(Denetimler!$B:$B,MATCH($A35,Denetimler!$A:$A,0)),"No yok"))</f>
        <v>46066</v>
      </c>
    </row>
    <row r="36" customFormat="false" ht="15" hidden="false" customHeight="false" outlineLevel="0" collapsed="false">
      <c r="A36" s="24" t="s">
        <v>123</v>
      </c>
      <c r="B36" s="24" t="s">
        <v>218</v>
      </c>
      <c r="C36" s="24" t="s">
        <v>206</v>
      </c>
      <c r="D36" s="19" t="str">
        <f aca="false">IF($B36="","",IFERROR(INDEX(Madde_Listesi!$C:$C,MATCH($B36,Madde_Listesi!$B:$B,0)),"Kod yok"))</f>
        <v>Depo ve kasa anahtarları yetkili kişide</v>
      </c>
      <c r="E36" s="19" t="str">
        <f aca="false">IF($B36="","",IFERROR(INDEX(Madde_Listesi!$D:$D,MATCH($B36,Madde_Listesi!$B:$B,0)),"Kod yok"))</f>
        <v>Güvenlik</v>
      </c>
      <c r="F36" s="19" t="str">
        <f aca="false">IF($B36="","",IFERROR(INDEX(Madde_Listesi!$E:$E,MATCH($B36,Madde_Listesi!$B:$B,0)),"Kod yok"))</f>
        <v>Major</v>
      </c>
      <c r="G36" s="19" t="str">
        <f aca="false">IF($B36="","",IFERROR(INDEX(Madde_Listesi!$F:$F,MATCH($B36,Madde_Listesi!$B:$B,0)),"Kod yok"))</f>
        <v>Mağaza güvenliği</v>
      </c>
      <c r="H36" s="19" t="str">
        <f aca="false">IF($A36="","",IFERROR(INDEX(Denetimler!$C:$C,MATCH($A36,Denetimler!$A:$A,0)),"No yok"))</f>
        <v>Mağaza D</v>
      </c>
      <c r="I36" s="19" t="str">
        <f aca="false">IF($A36="","",IFERROR(INDEX(Denetimler!$D:$D,MATCH($A36,Denetimler!$A:$A,0)),"No yok"))</f>
        <v>PAP</v>
      </c>
      <c r="J36" s="19" t="str">
        <f aca="false">IF($A36="","",IFERROR(INDEX(Denetimler!$E:$E,MATCH($A36,Denetimler!$A:$A,0)),"No yok"))</f>
        <v>İç denetim</v>
      </c>
      <c r="K36" s="25" t="n">
        <f aca="false">IF($A36="","",IFERROR(INDEX(Denetimler!$B:$B,MATCH($A36,Denetimler!$A:$A,0)),"No yok"))</f>
        <v>46052</v>
      </c>
    </row>
    <row r="37" customFormat="false" ht="15" hidden="false" customHeight="false" outlineLevel="0" collapsed="false">
      <c r="A37" s="24" t="s">
        <v>123</v>
      </c>
      <c r="B37" s="24" t="s">
        <v>217</v>
      </c>
      <c r="C37" s="24" t="s">
        <v>206</v>
      </c>
      <c r="D37" s="19" t="str">
        <f aca="false">IF($B37="","",IFERROR(INDEX(Madde_Listesi!$C:$C,MATCH($B37,Madde_Listesi!$B:$B,0)),"Kod yok"))</f>
        <v>Kamera kayıtları erişilebilir ve süresi uygun</v>
      </c>
      <c r="E37" s="19" t="str">
        <f aca="false">IF($B37="","",IFERROR(INDEX(Madde_Listesi!$D:$D,MATCH($B37,Madde_Listesi!$B:$B,0)),"Kod yok"))</f>
        <v>Güvenlik</v>
      </c>
      <c r="F37" s="19" t="str">
        <f aca="false">IF($B37="","",IFERROR(INDEX(Madde_Listesi!$E:$E,MATCH($B37,Madde_Listesi!$B:$B,0)),"Kod yok"))</f>
        <v>Minör</v>
      </c>
      <c r="G37" s="19" t="str">
        <f aca="false">IF($B37="","",IFERROR(INDEX(Madde_Listesi!$F:$F,MATCH($B37,Madde_Listesi!$B:$B,0)),"Kod yok"))</f>
        <v>Mağaza güvenliği</v>
      </c>
      <c r="H37" s="19" t="str">
        <f aca="false">IF($A37="","",IFERROR(INDEX(Denetimler!$C:$C,MATCH($A37,Denetimler!$A:$A,0)),"No yok"))</f>
        <v>Mağaza D</v>
      </c>
      <c r="I37" s="19" t="str">
        <f aca="false">IF($A37="","",IFERROR(INDEX(Denetimler!$D:$D,MATCH($A37,Denetimler!$A:$A,0)),"No yok"))</f>
        <v>PAP</v>
      </c>
      <c r="J37" s="19" t="str">
        <f aca="false">IF($A37="","",IFERROR(INDEX(Denetimler!$E:$E,MATCH($A37,Denetimler!$A:$A,0)),"No yok"))</f>
        <v>İç denetim</v>
      </c>
      <c r="K37" s="25" t="n">
        <f aca="false">IF($A37="","",IFERROR(INDEX(Denetimler!$B:$B,MATCH($A37,Denetimler!$A:$A,0)),"No yok"))</f>
        <v>46052</v>
      </c>
    </row>
    <row r="38" customFormat="false" ht="15" hidden="false" customHeight="false" outlineLevel="0" collapsed="false">
      <c r="A38" s="24" t="s">
        <v>123</v>
      </c>
      <c r="B38" s="24" t="s">
        <v>224</v>
      </c>
      <c r="C38" s="24" t="s">
        <v>206</v>
      </c>
      <c r="D38" s="19" t="str">
        <f aca="false">IF($B38="","",IFERROR(INDEX(Madde_Listesi!$C:$C,MATCH($B38,Madde_Listesi!$B:$B,0)),"Kod yok"))</f>
        <v>İptal ve iade işlemleri yönetici onaylı</v>
      </c>
      <c r="E38" s="19" t="str">
        <f aca="false">IF($B38="","",IFERROR(INDEX(Madde_Listesi!$D:$D,MATCH($B38,Madde_Listesi!$B:$B,0)),"Kod yok"))</f>
        <v>İşlem</v>
      </c>
      <c r="F38" s="19" t="str">
        <f aca="false">IF($B38="","",IFERROR(INDEX(Madde_Listesi!$E:$E,MATCH($B38,Madde_Listesi!$B:$B,0)),"Kod yok"))</f>
        <v>Major</v>
      </c>
      <c r="G38" s="19" t="str">
        <f aca="false">IF($B38="","",IFERROR(INDEX(Madde_Listesi!$F:$F,MATCH($B38,Madde_Listesi!$B:$B,0)),"Kod yok"))</f>
        <v>İptal ve iade süreçleri</v>
      </c>
      <c r="H38" s="19" t="str">
        <f aca="false">IF($A38="","",IFERROR(INDEX(Denetimler!$C:$C,MATCH($A38,Denetimler!$A:$A,0)),"No yok"))</f>
        <v>Mağaza D</v>
      </c>
      <c r="I38" s="19" t="str">
        <f aca="false">IF($A38="","",IFERROR(INDEX(Denetimler!$D:$D,MATCH($A38,Denetimler!$A:$A,0)),"No yok"))</f>
        <v>PAP</v>
      </c>
      <c r="J38" s="19" t="str">
        <f aca="false">IF($A38="","",IFERROR(INDEX(Denetimler!$E:$E,MATCH($A38,Denetimler!$A:$A,0)),"No yok"))</f>
        <v>İç denetim</v>
      </c>
      <c r="K38" s="25" t="n">
        <f aca="false">IF($A38="","",IFERROR(INDEX(Denetimler!$B:$B,MATCH($A38,Denetimler!$A:$A,0)),"No yok"))</f>
        <v>46052</v>
      </c>
    </row>
    <row r="39" customFormat="false" ht="15" hidden="false" customHeight="false" outlineLevel="0" collapsed="false">
      <c r="A39" s="24" t="s">
        <v>123</v>
      </c>
      <c r="B39" s="24" t="s">
        <v>221</v>
      </c>
      <c r="C39" s="24" t="s">
        <v>206</v>
      </c>
      <c r="D39" s="19" t="str">
        <f aca="false">IF($B39="","",IFERROR(INDEX(Madde_Listesi!$C:$C,MATCH($B39,Madde_Listesi!$B:$B,0)),"Kod yok"))</f>
        <v>Kasa limitinin üzerindeki nakit zamanında kasaya aktarılıyor</v>
      </c>
      <c r="E39" s="19" t="str">
        <f aca="false">IF($B39="","",IFERROR(INDEX(Madde_Listesi!$D:$D,MATCH($B39,Madde_Listesi!$B:$B,0)),"Kod yok"))</f>
        <v>Nakit</v>
      </c>
      <c r="F39" s="19" t="str">
        <f aca="false">IF($B39="","",IFERROR(INDEX(Madde_Listesi!$E:$E,MATCH($B39,Madde_Listesi!$B:$B,0)),"Kod yok"))</f>
        <v>Major</v>
      </c>
      <c r="G39" s="19" t="str">
        <f aca="false">IF($B39="","",IFERROR(INDEX(Madde_Listesi!$F:$F,MATCH($B39,Madde_Listesi!$B:$B,0)),"Kod yok"))</f>
        <v>Kasa prosedürleri</v>
      </c>
      <c r="H39" s="19" t="str">
        <f aca="false">IF($A39="","",IFERROR(INDEX(Denetimler!$C:$C,MATCH($A39,Denetimler!$A:$A,0)),"No yok"))</f>
        <v>Mağaza D</v>
      </c>
      <c r="I39" s="19" t="str">
        <f aca="false">IF($A39="","",IFERROR(INDEX(Denetimler!$D:$D,MATCH($A39,Denetimler!$A:$A,0)),"No yok"))</f>
        <v>PAP</v>
      </c>
      <c r="J39" s="19" t="str">
        <f aca="false">IF($A39="","",IFERROR(INDEX(Denetimler!$E:$E,MATCH($A39,Denetimler!$A:$A,0)),"No yok"))</f>
        <v>İç denetim</v>
      </c>
      <c r="K39" s="25" t="n">
        <f aca="false">IF($A39="","",IFERROR(INDEX(Denetimler!$B:$B,MATCH($A39,Denetimler!$A:$A,0)),"No yok"))</f>
        <v>46052</v>
      </c>
    </row>
    <row r="40" customFormat="false" ht="15" hidden="false" customHeight="false" outlineLevel="0" collapsed="false">
      <c r="A40" s="24" t="s">
        <v>123</v>
      </c>
      <c r="B40" s="24" t="s">
        <v>224</v>
      </c>
      <c r="C40" s="24" t="s">
        <v>206</v>
      </c>
      <c r="D40" s="19" t="str">
        <f aca="false">IF($B40="","",IFERROR(INDEX(Madde_Listesi!$C:$C,MATCH($B40,Madde_Listesi!$B:$B,0)),"Kod yok"))</f>
        <v>İptal ve iade işlemleri yönetici onaylı</v>
      </c>
      <c r="E40" s="19" t="str">
        <f aca="false">IF($B40="","",IFERROR(INDEX(Madde_Listesi!$D:$D,MATCH($B40,Madde_Listesi!$B:$B,0)),"Kod yok"))</f>
        <v>İşlem</v>
      </c>
      <c r="F40" s="19" t="str">
        <f aca="false">IF($B40="","",IFERROR(INDEX(Madde_Listesi!$E:$E,MATCH($B40,Madde_Listesi!$B:$B,0)),"Kod yok"))</f>
        <v>Major</v>
      </c>
      <c r="G40" s="19" t="str">
        <f aca="false">IF($B40="","",IFERROR(INDEX(Madde_Listesi!$F:$F,MATCH($B40,Madde_Listesi!$B:$B,0)),"Kod yok"))</f>
        <v>İptal ve iade süreçleri</v>
      </c>
      <c r="H40" s="19" t="str">
        <f aca="false">IF($A40="","",IFERROR(INDEX(Denetimler!$C:$C,MATCH($A40,Denetimler!$A:$A,0)),"No yok"))</f>
        <v>Mağaza D</v>
      </c>
      <c r="I40" s="19" t="str">
        <f aca="false">IF($A40="","",IFERROR(INDEX(Denetimler!$D:$D,MATCH($A40,Denetimler!$A:$A,0)),"No yok"))</f>
        <v>PAP</v>
      </c>
      <c r="J40" s="19" t="str">
        <f aca="false">IF($A40="","",IFERROR(INDEX(Denetimler!$E:$E,MATCH($A40,Denetimler!$A:$A,0)),"No yok"))</f>
        <v>İç denetim</v>
      </c>
      <c r="K40" s="25" t="n">
        <f aca="false">IF($A40="","",IFERROR(INDEX(Denetimler!$B:$B,MATCH($A40,Denetimler!$A:$A,0)),"No yok"))</f>
        <v>46052</v>
      </c>
    </row>
    <row r="41" customFormat="false" ht="15" hidden="false" customHeight="false" outlineLevel="0" collapsed="false">
      <c r="A41" s="24" t="s">
        <v>117</v>
      </c>
      <c r="B41" s="24" t="s">
        <v>210</v>
      </c>
      <c r="C41" s="24" t="s">
        <v>206</v>
      </c>
      <c r="D41" s="19" t="str">
        <f aca="false">IF($B41="","",IFERROR(INDEX(Madde_Listesi!$C:$C,MATCH($B41,Madde_Listesi!$B:$B,0)),"Kod yok"))</f>
        <v>Kimyasallar etiketli ve gıdadan ayrı saklanıyor</v>
      </c>
      <c r="E41" s="19" t="str">
        <f aca="false">IF($B41="","",IFERROR(INDEX(Madde_Listesi!$D:$D,MATCH($B41,Madde_Listesi!$B:$B,0)),"Kod yok"))</f>
        <v>Bulaşma</v>
      </c>
      <c r="F41" s="19" t="str">
        <f aca="false">IF($B41="","",IFERROR(INDEX(Madde_Listesi!$E:$E,MATCH($B41,Madde_Listesi!$B:$B,0)),"Kod yok"))</f>
        <v>Major</v>
      </c>
      <c r="G41" s="19" t="str">
        <f aca="false">IF($B41="","",IFERROR(INDEX(Madde_Listesi!$F:$F,MATCH($B41,Madde_Listesi!$B:$B,0)),"Kod yok"))</f>
        <v>Kimyasal güvenliği</v>
      </c>
      <c r="H41" s="19" t="str">
        <f aca="false">IF($A41="","",IFERROR(INDEX(Denetimler!$C:$C,MATCH($A41,Denetimler!$A:$A,0)),"No yok"))</f>
        <v>Mağaza D</v>
      </c>
      <c r="I41" s="19" t="str">
        <f aca="false">IF($A41="","",IFERROR(INDEX(Denetimler!$D:$D,MATCH($A41,Denetimler!$A:$A,0)),"No yok"))</f>
        <v>RSA</v>
      </c>
      <c r="J41" s="19" t="str">
        <f aca="false">IF($A41="","",IFERROR(INDEX(Denetimler!$E:$E,MATCH($A41,Denetimler!$A:$A,0)),"No yok"))</f>
        <v>İç denetim</v>
      </c>
      <c r="K41" s="25" t="n">
        <f aca="false">IF($A41="","",IFERROR(INDEX(Denetimler!$B:$B,MATCH($A41,Denetimler!$A:$A,0)),"No yok"))</f>
        <v>46045</v>
      </c>
    </row>
    <row r="42" customFormat="false" ht="15" hidden="false" customHeight="false" outlineLevel="0" collapsed="false">
      <c r="A42" s="24" t="s">
        <v>117</v>
      </c>
      <c r="B42" s="24" t="s">
        <v>211</v>
      </c>
      <c r="C42" s="24" t="s">
        <v>206</v>
      </c>
      <c r="D42" s="19" t="str">
        <f aca="false">IF($B42="","",IFERROR(INDEX(Madde_Listesi!$C:$C,MATCH($B42,Madde_Listesi!$B:$B,0)),"Kod yok"))</f>
        <v>Haşere girişini önleyen önlemler yerinde</v>
      </c>
      <c r="E42" s="19" t="str">
        <f aca="false">IF($B42="","",IFERROR(INDEX(Madde_Listesi!$D:$D,MATCH($B42,Madde_Listesi!$B:$B,0)),"Kod yok"))</f>
        <v>Haşere</v>
      </c>
      <c r="F42" s="19" t="str">
        <f aca="false">IF($B42="","",IFERROR(INDEX(Madde_Listesi!$E:$E,MATCH($B42,Madde_Listesi!$B:$B,0)),"Kod yok"))</f>
        <v>Major</v>
      </c>
      <c r="G42" s="19" t="str">
        <f aca="false">IF($B42="","",IFERROR(INDEX(Madde_Listesi!$F:$F,MATCH($B42,Madde_Listesi!$B:$B,0)),"Kod yok"))</f>
        <v>Haşere önleme</v>
      </c>
      <c r="H42" s="19" t="str">
        <f aca="false">IF($A42="","",IFERROR(INDEX(Denetimler!$C:$C,MATCH($A42,Denetimler!$A:$A,0)),"No yok"))</f>
        <v>Mağaza D</v>
      </c>
      <c r="I42" s="19" t="str">
        <f aca="false">IF($A42="","",IFERROR(INDEX(Denetimler!$D:$D,MATCH($A42,Denetimler!$A:$A,0)),"No yok"))</f>
        <v>RSA</v>
      </c>
      <c r="J42" s="19" t="str">
        <f aca="false">IF($A42="","",IFERROR(INDEX(Denetimler!$E:$E,MATCH($A42,Denetimler!$A:$A,0)),"No yok"))</f>
        <v>İç denetim</v>
      </c>
      <c r="K42" s="25" t="n">
        <f aca="false">IF($A42="","",IFERROR(INDEX(Denetimler!$B:$B,MATCH($A42,Denetimler!$A:$A,0)),"No yok"))</f>
        <v>46045</v>
      </c>
    </row>
    <row r="43" customFormat="false" ht="15" hidden="false" customHeight="false" outlineLevel="0" collapsed="false">
      <c r="A43" s="24" t="s">
        <v>117</v>
      </c>
      <c r="B43" s="24" t="s">
        <v>222</v>
      </c>
      <c r="C43" s="24" t="s">
        <v>206</v>
      </c>
      <c r="D43" s="19" t="str">
        <f aca="false">IF($B43="","",IFERROR(INDEX(Madde_Listesi!$C:$C,MATCH($B43,Madde_Listesi!$B:$B,0)),"Kod yok"))</f>
        <v>Çalışan takı ve kişisel hijyen kurallarına uyuyor</v>
      </c>
      <c r="E43" s="19" t="str">
        <f aca="false">IF($B43="","",IFERROR(INDEX(Madde_Listesi!$D:$D,MATCH($B43,Madde_Listesi!$B:$B,0)),"Kod yok"))</f>
        <v>Partner</v>
      </c>
      <c r="F43" s="19" t="str">
        <f aca="false">IF($B43="","",IFERROR(INDEX(Madde_Listesi!$E:$E,MATCH($B43,Madde_Listesi!$B:$B,0)),"Kod yok"))</f>
        <v>Major</v>
      </c>
      <c r="G43" s="19" t="str">
        <f aca="false">IF($B43="","",IFERROR(INDEX(Madde_Listesi!$F:$F,MATCH($B43,Madde_Listesi!$B:$B,0)),"Kod yok"))</f>
        <v>Kişisel hijyen</v>
      </c>
      <c r="H43" s="19" t="str">
        <f aca="false">IF($A43="","",IFERROR(INDEX(Denetimler!$C:$C,MATCH($A43,Denetimler!$A:$A,0)),"No yok"))</f>
        <v>Mağaza D</v>
      </c>
      <c r="I43" s="19" t="str">
        <f aca="false">IF($A43="","",IFERROR(INDEX(Denetimler!$D:$D,MATCH($A43,Denetimler!$A:$A,0)),"No yok"))</f>
        <v>RSA</v>
      </c>
      <c r="J43" s="19" t="str">
        <f aca="false">IF($A43="","",IFERROR(INDEX(Denetimler!$E:$E,MATCH($A43,Denetimler!$A:$A,0)),"No yok"))</f>
        <v>İç denetim</v>
      </c>
      <c r="K43" s="25" t="n">
        <f aca="false">IF($A43="","",IFERROR(INDEX(Denetimler!$B:$B,MATCH($A43,Denetimler!$A:$A,0)),"No yok"))</f>
        <v>46045</v>
      </c>
    </row>
    <row r="44" customFormat="false" ht="15" hidden="false" customHeight="false" outlineLevel="0" collapsed="false">
      <c r="A44" s="24" t="s">
        <v>121</v>
      </c>
      <c r="B44" s="24" t="s">
        <v>207</v>
      </c>
      <c r="C44" s="24" t="s">
        <v>206</v>
      </c>
      <c r="D44" s="19" t="str">
        <f aca="false">IF($B44="","",IFERROR(INDEX(Madde_Listesi!$C:$C,MATCH($B44,Madde_Listesi!$B:$B,0)),"Kod yok"))</f>
        <v>Vardiya planı yoğunluğa uygun hazırlanmış</v>
      </c>
      <c r="E44" s="19" t="str">
        <f aca="false">IF($B44="","",IFERROR(INDEX(Madde_Listesi!$D:$D,MATCH($B44,Madde_Listesi!$B:$B,0)),"Kod yok"))</f>
        <v>Operasyon</v>
      </c>
      <c r="F44" s="19" t="str">
        <f aca="false">IF($B44="","",IFERROR(INDEX(Madde_Listesi!$E:$E,MATCH($B44,Madde_Listesi!$B:$B,0)),"Kod yok"))</f>
        <v>Major</v>
      </c>
      <c r="G44" s="19" t="str">
        <f aca="false">IF($B44="","",IFERROR(INDEX(Madde_Listesi!$F:$F,MATCH($B44,Madde_Listesi!$B:$B,0)),"Kod yok"))</f>
        <v>Vardiya planlama</v>
      </c>
      <c r="H44" s="19" t="str">
        <f aca="false">IF($A44="","",IFERROR(INDEX(Denetimler!$C:$C,MATCH($A44,Denetimler!$A:$A,0)),"No yok"))</f>
        <v>Mağaza E</v>
      </c>
      <c r="I44" s="19" t="str">
        <f aca="false">IF($A44="","",IFERROR(INDEX(Denetimler!$D:$D,MATCH($A44,Denetimler!$A:$A,0)),"No yok"))</f>
        <v>ASA</v>
      </c>
      <c r="J44" s="19" t="str">
        <f aca="false">IF($A44="","",IFERROR(INDEX(Denetimler!$E:$E,MATCH($A44,Denetimler!$A:$A,0)),"No yok"))</f>
        <v>İç denetim</v>
      </c>
      <c r="K44" s="25" t="n">
        <f aca="false">IF($A44="","",IFERROR(INDEX(Denetimler!$B:$B,MATCH($A44,Denetimler!$A:$A,0)),"No yok"))</f>
        <v>46051</v>
      </c>
    </row>
    <row r="45" customFormat="false" ht="15" hidden="false" customHeight="false" outlineLevel="0" collapsed="false">
      <c r="A45" s="24" t="s">
        <v>138</v>
      </c>
      <c r="B45" s="24" t="s">
        <v>217</v>
      </c>
      <c r="C45" s="24" t="s">
        <v>206</v>
      </c>
      <c r="D45" s="19" t="str">
        <f aca="false">IF($B45="","",IFERROR(INDEX(Madde_Listesi!$C:$C,MATCH($B45,Madde_Listesi!$B:$B,0)),"Kod yok"))</f>
        <v>Kamera kayıtları erişilebilir ve süresi uygun</v>
      </c>
      <c r="E45" s="19" t="str">
        <f aca="false">IF($B45="","",IFERROR(INDEX(Madde_Listesi!$D:$D,MATCH($B45,Madde_Listesi!$B:$B,0)),"Kod yok"))</f>
        <v>Güvenlik</v>
      </c>
      <c r="F45" s="19" t="str">
        <f aca="false">IF($B45="","",IFERROR(INDEX(Madde_Listesi!$E:$E,MATCH($B45,Madde_Listesi!$B:$B,0)),"Kod yok"))</f>
        <v>Minör</v>
      </c>
      <c r="G45" s="19" t="str">
        <f aca="false">IF($B45="","",IFERROR(INDEX(Madde_Listesi!$F:$F,MATCH($B45,Madde_Listesi!$B:$B,0)),"Kod yok"))</f>
        <v>Mağaza güvenliği</v>
      </c>
      <c r="H45" s="19" t="str">
        <f aca="false">IF($A45="","",IFERROR(INDEX(Denetimler!$C:$C,MATCH($A45,Denetimler!$A:$A,0)),"No yok"))</f>
        <v>Mağaza E</v>
      </c>
      <c r="I45" s="19" t="str">
        <f aca="false">IF($A45="","",IFERROR(INDEX(Denetimler!$D:$D,MATCH($A45,Denetimler!$A:$A,0)),"No yok"))</f>
        <v>PAP</v>
      </c>
      <c r="J45" s="19" t="str">
        <f aca="false">IF($A45="","",IFERROR(INDEX(Denetimler!$E:$E,MATCH($A45,Denetimler!$A:$A,0)),"No yok"))</f>
        <v>İç denetim</v>
      </c>
      <c r="K45" s="25" t="n">
        <f aca="false">IF($A45="","",IFERROR(INDEX(Denetimler!$B:$B,MATCH($A45,Denetimler!$A:$A,0)),"No yok"))</f>
        <v>46082</v>
      </c>
    </row>
    <row r="46" customFormat="false" ht="15" hidden="false" customHeight="false" outlineLevel="0" collapsed="false">
      <c r="A46" s="24" t="s">
        <v>138</v>
      </c>
      <c r="B46" s="24" t="s">
        <v>225</v>
      </c>
      <c r="C46" s="24" t="s">
        <v>206</v>
      </c>
      <c r="D46" s="19" t="str">
        <f aca="false">IF($B46="","",IFERROR(INDEX(Madde_Listesi!$C:$C,MATCH($B46,Madde_Listesi!$B:$B,0)),"Kod yok"))</f>
        <v>Fire ve zayi kayıtları belgeli</v>
      </c>
      <c r="E46" s="19" t="str">
        <f aca="false">IF($B46="","",IFERROR(INDEX(Madde_Listesi!$D:$D,MATCH($B46,Madde_Listesi!$B:$B,0)),"Kod yok"))</f>
        <v>Stok</v>
      </c>
      <c r="F46" s="19" t="str">
        <f aca="false">IF($B46="","",IFERROR(INDEX(Madde_Listesi!$E:$E,MATCH($B46,Madde_Listesi!$B:$B,0)),"Kod yok"))</f>
        <v>Major</v>
      </c>
      <c r="G46" s="19" t="str">
        <f aca="false">IF($B46="","",IFERROR(INDEX(Madde_Listesi!$F:$F,MATCH($B46,Madde_Listesi!$B:$B,0)),"Kod yok"))</f>
        <v>Stok ve sipariş yönetimi</v>
      </c>
      <c r="H46" s="19" t="str">
        <f aca="false">IF($A46="","",IFERROR(INDEX(Denetimler!$C:$C,MATCH($A46,Denetimler!$A:$A,0)),"No yok"))</f>
        <v>Mağaza E</v>
      </c>
      <c r="I46" s="19" t="str">
        <f aca="false">IF($A46="","",IFERROR(INDEX(Denetimler!$D:$D,MATCH($A46,Denetimler!$A:$A,0)),"No yok"))</f>
        <v>PAP</v>
      </c>
      <c r="J46" s="19" t="str">
        <f aca="false">IF($A46="","",IFERROR(INDEX(Denetimler!$E:$E,MATCH($A46,Denetimler!$A:$A,0)),"No yok"))</f>
        <v>İç denetim</v>
      </c>
      <c r="K46" s="25" t="n">
        <f aca="false">IF($A46="","",IFERROR(INDEX(Denetimler!$B:$B,MATCH($A46,Denetimler!$A:$A,0)),"No yok"))</f>
        <v>46082</v>
      </c>
    </row>
    <row r="47" customFormat="false" ht="15" hidden="false" customHeight="false" outlineLevel="0" collapsed="false">
      <c r="A47" s="24" t="s">
        <v>138</v>
      </c>
      <c r="B47" s="24" t="s">
        <v>218</v>
      </c>
      <c r="C47" s="24" t="s">
        <v>206</v>
      </c>
      <c r="D47" s="19" t="str">
        <f aca="false">IF($B47="","",IFERROR(INDEX(Madde_Listesi!$C:$C,MATCH($B47,Madde_Listesi!$B:$B,0)),"Kod yok"))</f>
        <v>Depo ve kasa anahtarları yetkili kişide</v>
      </c>
      <c r="E47" s="19" t="str">
        <f aca="false">IF($B47="","",IFERROR(INDEX(Madde_Listesi!$D:$D,MATCH($B47,Madde_Listesi!$B:$B,0)),"Kod yok"))</f>
        <v>Güvenlik</v>
      </c>
      <c r="F47" s="19" t="str">
        <f aca="false">IF($B47="","",IFERROR(INDEX(Madde_Listesi!$E:$E,MATCH($B47,Madde_Listesi!$B:$B,0)),"Kod yok"))</f>
        <v>Major</v>
      </c>
      <c r="G47" s="19" t="str">
        <f aca="false">IF($B47="","",IFERROR(INDEX(Madde_Listesi!$F:$F,MATCH($B47,Madde_Listesi!$B:$B,0)),"Kod yok"))</f>
        <v>Mağaza güvenliği</v>
      </c>
      <c r="H47" s="19" t="str">
        <f aca="false">IF($A47="","",IFERROR(INDEX(Denetimler!$C:$C,MATCH($A47,Denetimler!$A:$A,0)),"No yok"))</f>
        <v>Mağaza E</v>
      </c>
      <c r="I47" s="19" t="str">
        <f aca="false">IF($A47="","",IFERROR(INDEX(Denetimler!$D:$D,MATCH($A47,Denetimler!$A:$A,0)),"No yok"))</f>
        <v>PAP</v>
      </c>
      <c r="J47" s="19" t="str">
        <f aca="false">IF($A47="","",IFERROR(INDEX(Denetimler!$E:$E,MATCH($A47,Denetimler!$A:$A,0)),"No yok"))</f>
        <v>İç denetim</v>
      </c>
      <c r="K47" s="25" t="n">
        <f aca="false">IF($A47="","",IFERROR(INDEX(Denetimler!$B:$B,MATCH($A47,Denetimler!$A:$A,0)),"No yok"))</f>
        <v>46082</v>
      </c>
    </row>
    <row r="48" customFormat="false" ht="15" hidden="false" customHeight="false" outlineLevel="0" collapsed="false">
      <c r="A48" s="24" t="s">
        <v>138</v>
      </c>
      <c r="B48" s="24" t="s">
        <v>224</v>
      </c>
      <c r="C48" s="24" t="s">
        <v>206</v>
      </c>
      <c r="D48" s="19" t="str">
        <f aca="false">IF($B48="","",IFERROR(INDEX(Madde_Listesi!$C:$C,MATCH($B48,Madde_Listesi!$B:$B,0)),"Kod yok"))</f>
        <v>İptal ve iade işlemleri yönetici onaylı</v>
      </c>
      <c r="E48" s="19" t="str">
        <f aca="false">IF($B48="","",IFERROR(INDEX(Madde_Listesi!$D:$D,MATCH($B48,Madde_Listesi!$B:$B,0)),"Kod yok"))</f>
        <v>İşlem</v>
      </c>
      <c r="F48" s="19" t="str">
        <f aca="false">IF($B48="","",IFERROR(INDEX(Madde_Listesi!$E:$E,MATCH($B48,Madde_Listesi!$B:$B,0)),"Kod yok"))</f>
        <v>Major</v>
      </c>
      <c r="G48" s="19" t="str">
        <f aca="false">IF($B48="","",IFERROR(INDEX(Madde_Listesi!$F:$F,MATCH($B48,Madde_Listesi!$B:$B,0)),"Kod yok"))</f>
        <v>İptal ve iade süreçleri</v>
      </c>
      <c r="H48" s="19" t="str">
        <f aca="false">IF($A48="","",IFERROR(INDEX(Denetimler!$C:$C,MATCH($A48,Denetimler!$A:$A,0)),"No yok"))</f>
        <v>Mağaza E</v>
      </c>
      <c r="I48" s="19" t="str">
        <f aca="false">IF($A48="","",IFERROR(INDEX(Denetimler!$D:$D,MATCH($A48,Denetimler!$A:$A,0)),"No yok"))</f>
        <v>PAP</v>
      </c>
      <c r="J48" s="19" t="str">
        <f aca="false">IF($A48="","",IFERROR(INDEX(Denetimler!$E:$E,MATCH($A48,Denetimler!$A:$A,0)),"No yok"))</f>
        <v>İç denetim</v>
      </c>
      <c r="K48" s="25" t="n">
        <f aca="false">IF($A48="","",IFERROR(INDEX(Denetimler!$B:$B,MATCH($A48,Denetimler!$A:$A,0)),"No yok"))</f>
        <v>46082</v>
      </c>
    </row>
    <row r="49" customFormat="false" ht="15" hidden="false" customHeight="false" outlineLevel="0" collapsed="false">
      <c r="A49" s="24" t="s">
        <v>138</v>
      </c>
      <c r="B49" s="24" t="s">
        <v>217</v>
      </c>
      <c r="C49" s="24" t="s">
        <v>206</v>
      </c>
      <c r="D49" s="19" t="str">
        <f aca="false">IF($B49="","",IFERROR(INDEX(Madde_Listesi!$C:$C,MATCH($B49,Madde_Listesi!$B:$B,0)),"Kod yok"))</f>
        <v>Kamera kayıtları erişilebilir ve süresi uygun</v>
      </c>
      <c r="E49" s="19" t="str">
        <f aca="false">IF($B49="","",IFERROR(INDEX(Madde_Listesi!$D:$D,MATCH($B49,Madde_Listesi!$B:$B,0)),"Kod yok"))</f>
        <v>Güvenlik</v>
      </c>
      <c r="F49" s="19" t="str">
        <f aca="false">IF($B49="","",IFERROR(INDEX(Madde_Listesi!$E:$E,MATCH($B49,Madde_Listesi!$B:$B,0)),"Kod yok"))</f>
        <v>Minör</v>
      </c>
      <c r="G49" s="19" t="str">
        <f aca="false">IF($B49="","",IFERROR(INDEX(Madde_Listesi!$F:$F,MATCH($B49,Madde_Listesi!$B:$B,0)),"Kod yok"))</f>
        <v>Mağaza güvenliği</v>
      </c>
      <c r="H49" s="19" t="str">
        <f aca="false">IF($A49="","",IFERROR(INDEX(Denetimler!$C:$C,MATCH($A49,Denetimler!$A:$A,0)),"No yok"))</f>
        <v>Mağaza E</v>
      </c>
      <c r="I49" s="19" t="str">
        <f aca="false">IF($A49="","",IFERROR(INDEX(Denetimler!$D:$D,MATCH($A49,Denetimler!$A:$A,0)),"No yok"))</f>
        <v>PAP</v>
      </c>
      <c r="J49" s="19" t="str">
        <f aca="false">IF($A49="","",IFERROR(INDEX(Denetimler!$E:$E,MATCH($A49,Denetimler!$A:$A,0)),"No yok"))</f>
        <v>İç denetim</v>
      </c>
      <c r="K49" s="25" t="n">
        <f aca="false">IF($A49="","",IFERROR(INDEX(Denetimler!$B:$B,MATCH($A49,Denetimler!$A:$A,0)),"No yok"))</f>
        <v>46082</v>
      </c>
    </row>
    <row r="50" customFormat="false" ht="15" hidden="false" customHeight="false" outlineLevel="0" collapsed="false">
      <c r="A50" s="24" t="s">
        <v>134</v>
      </c>
      <c r="B50" s="24" t="s">
        <v>214</v>
      </c>
      <c r="C50" s="24" t="s">
        <v>206</v>
      </c>
      <c r="D50" s="19" t="str">
        <f aca="false">IF($B50="","",IFERROR(INDEX(Madde_Listesi!$C:$C,MATCH($B50,Madde_Listesi!$B:$B,0)),"Kod yok"))</f>
        <v>Sıcaklık kayıtları tam ve zamanında tutulmuş</v>
      </c>
      <c r="E50" s="19" t="str">
        <f aca="false">IF($B50="","",IFERROR(INDEX(Madde_Listesi!$D:$D,MATCH($B50,Madde_Listesi!$B:$B,0)),"Kod yok"))</f>
        <v>Sıcaklık</v>
      </c>
      <c r="F50" s="19" t="str">
        <f aca="false">IF($B50="","",IFERROR(INDEX(Madde_Listesi!$E:$E,MATCH($B50,Madde_Listesi!$B:$B,0)),"Kod yok"))</f>
        <v>Major</v>
      </c>
      <c r="G50" s="19" t="str">
        <f aca="false">IF($B50="","",IFERROR(INDEX(Madde_Listesi!$F:$F,MATCH($B50,Madde_Listesi!$B:$B,0)),"Kod yok"))</f>
        <v>Soğuk zincir ve sıcaklık kontrolü</v>
      </c>
      <c r="H50" s="19" t="str">
        <f aca="false">IF($A50="","",IFERROR(INDEX(Denetimler!$C:$C,MATCH($A50,Denetimler!$A:$A,0)),"No yok"))</f>
        <v>Mağaza E</v>
      </c>
      <c r="I50" s="19" t="str">
        <f aca="false">IF($A50="","",IFERROR(INDEX(Denetimler!$D:$D,MATCH($A50,Denetimler!$A:$A,0)),"No yok"))</f>
        <v>RSA</v>
      </c>
      <c r="J50" s="19" t="str">
        <f aca="false">IF($A50="","",IFERROR(INDEX(Denetimler!$E:$E,MATCH($A50,Denetimler!$A:$A,0)),"No yok"))</f>
        <v>İç denetim</v>
      </c>
      <c r="K50" s="25" t="n">
        <f aca="false">IF($A50="","",IFERROR(INDEX(Denetimler!$B:$B,MATCH($A50,Denetimler!$A:$A,0)),"No yok"))</f>
        <v>46073</v>
      </c>
    </row>
    <row r="51" customFormat="false" ht="15" hidden="false" customHeight="false" outlineLevel="0" collapsed="false">
      <c r="A51" s="24" t="s">
        <v>134</v>
      </c>
      <c r="B51" s="24" t="s">
        <v>210</v>
      </c>
      <c r="C51" s="24" t="s">
        <v>206</v>
      </c>
      <c r="D51" s="19" t="str">
        <f aca="false">IF($B51="","",IFERROR(INDEX(Madde_Listesi!$C:$C,MATCH($B51,Madde_Listesi!$B:$B,0)),"Kod yok"))</f>
        <v>Kimyasallar etiketli ve gıdadan ayrı saklanıyor</v>
      </c>
      <c r="E51" s="19" t="str">
        <f aca="false">IF($B51="","",IFERROR(INDEX(Madde_Listesi!$D:$D,MATCH($B51,Madde_Listesi!$B:$B,0)),"Kod yok"))</f>
        <v>Bulaşma</v>
      </c>
      <c r="F51" s="19" t="str">
        <f aca="false">IF($B51="","",IFERROR(INDEX(Madde_Listesi!$E:$E,MATCH($B51,Madde_Listesi!$B:$B,0)),"Kod yok"))</f>
        <v>Major</v>
      </c>
      <c r="G51" s="19" t="str">
        <f aca="false">IF($B51="","",IFERROR(INDEX(Madde_Listesi!$F:$F,MATCH($B51,Madde_Listesi!$B:$B,0)),"Kod yok"))</f>
        <v>Kimyasal güvenliği</v>
      </c>
      <c r="H51" s="19" t="str">
        <f aca="false">IF($A51="","",IFERROR(INDEX(Denetimler!$C:$C,MATCH($A51,Denetimler!$A:$A,0)),"No yok"))</f>
        <v>Mağaza E</v>
      </c>
      <c r="I51" s="19" t="str">
        <f aca="false">IF($A51="","",IFERROR(INDEX(Denetimler!$D:$D,MATCH($A51,Denetimler!$A:$A,0)),"No yok"))</f>
        <v>RSA</v>
      </c>
      <c r="J51" s="19" t="str">
        <f aca="false">IF($A51="","",IFERROR(INDEX(Denetimler!$E:$E,MATCH($A51,Denetimler!$A:$A,0)),"No yok"))</f>
        <v>İç denetim</v>
      </c>
      <c r="K51" s="25" t="n">
        <f aca="false">IF($A51="","",IFERROR(INDEX(Denetimler!$B:$B,MATCH($A51,Denetimler!$A:$A,0)),"No yok"))</f>
        <v>46073</v>
      </c>
    </row>
    <row r="52" customFormat="false" ht="15" hidden="false" customHeight="false" outlineLevel="0" collapsed="false">
      <c r="A52" s="24" t="s">
        <v>133</v>
      </c>
      <c r="B52" s="24" t="s">
        <v>216</v>
      </c>
      <c r="C52" s="24" t="s">
        <v>206</v>
      </c>
      <c r="D52" s="19" t="str">
        <f aca="false">IF($B52="","",IFERROR(INDEX(Madde_Listesi!$C:$C,MATCH($B52,Madde_Listesi!$B:$B,0)),"Kod yok"))</f>
        <v>Kasa açılış-kapanış prosedürü uygulanıyor</v>
      </c>
      <c r="E52" s="19" t="str">
        <f aca="false">IF($B52="","",IFERROR(INDEX(Madde_Listesi!$D:$D,MATCH($B52,Madde_Listesi!$B:$B,0)),"Kod yok"))</f>
        <v>Operasyon</v>
      </c>
      <c r="F52" s="19" t="str">
        <f aca="false">IF($B52="","",IFERROR(INDEX(Madde_Listesi!$E:$E,MATCH($B52,Madde_Listesi!$B:$B,0)),"Kod yok"))</f>
        <v>Kritik</v>
      </c>
      <c r="G52" s="19" t="str">
        <f aca="false">IF($B52="","",IFERROR(INDEX(Madde_Listesi!$F:$F,MATCH($B52,Madde_Listesi!$B:$B,0)),"Kod yok"))</f>
        <v>Kasa prosedürleri</v>
      </c>
      <c r="H52" s="19" t="str">
        <f aca="false">IF($A52="","",IFERROR(INDEX(Denetimler!$C:$C,MATCH($A52,Denetimler!$A:$A,0)),"No yok"))</f>
        <v>Mağaza F</v>
      </c>
      <c r="I52" s="19" t="str">
        <f aca="false">IF($A52="","",IFERROR(INDEX(Denetimler!$D:$D,MATCH($A52,Denetimler!$A:$A,0)),"No yok"))</f>
        <v>ASA</v>
      </c>
      <c r="J52" s="19" t="str">
        <f aca="false">IF($A52="","",IFERROR(INDEX(Denetimler!$E:$E,MATCH($A52,Denetimler!$A:$A,0)),"No yok"))</f>
        <v>İç denetim</v>
      </c>
      <c r="K52" s="25" t="n">
        <f aca="false">IF($A52="","",IFERROR(INDEX(Denetimler!$B:$B,MATCH($A52,Denetimler!$A:$A,0)),"No yok"))</f>
        <v>46070</v>
      </c>
    </row>
    <row r="53" customFormat="false" ht="15" hidden="false" customHeight="false" outlineLevel="0" collapsed="false">
      <c r="A53" s="24" t="s">
        <v>133</v>
      </c>
      <c r="B53" s="24" t="s">
        <v>205</v>
      </c>
      <c r="C53" s="24" t="s">
        <v>206</v>
      </c>
      <c r="D53" s="19" t="str">
        <f aca="false">IF($B53="","",IFERROR(INDEX(Madde_Listesi!$C:$C,MATCH($B53,Madde_Listesi!$B:$B,0)),"Kod yok"))</f>
        <v>Stok sayımı ve sipariş kayıtları tutarlı</v>
      </c>
      <c r="E53" s="19" t="str">
        <f aca="false">IF($B53="","",IFERROR(INDEX(Madde_Listesi!$D:$D,MATCH($B53,Madde_Listesi!$B:$B,0)),"Kod yok"))</f>
        <v>Stok</v>
      </c>
      <c r="F53" s="19" t="str">
        <f aca="false">IF($B53="","",IFERROR(INDEX(Madde_Listesi!$E:$E,MATCH($B53,Madde_Listesi!$B:$B,0)),"Kod yok"))</f>
        <v>Major</v>
      </c>
      <c r="G53" s="19" t="str">
        <f aca="false">IF($B53="","",IFERROR(INDEX(Madde_Listesi!$F:$F,MATCH($B53,Madde_Listesi!$B:$B,0)),"Kod yok"))</f>
        <v>Stok ve sipariş yönetimi</v>
      </c>
      <c r="H53" s="19" t="str">
        <f aca="false">IF($A53="","",IFERROR(INDEX(Denetimler!$C:$C,MATCH($A53,Denetimler!$A:$A,0)),"No yok"))</f>
        <v>Mağaza F</v>
      </c>
      <c r="I53" s="19" t="str">
        <f aca="false">IF($A53="","",IFERROR(INDEX(Denetimler!$D:$D,MATCH($A53,Denetimler!$A:$A,0)),"No yok"))</f>
        <v>ASA</v>
      </c>
      <c r="J53" s="19" t="str">
        <f aca="false">IF($A53="","",IFERROR(INDEX(Denetimler!$E:$E,MATCH($A53,Denetimler!$A:$A,0)),"No yok"))</f>
        <v>İç denetim</v>
      </c>
      <c r="K53" s="25" t="n">
        <f aca="false">IF($A53="","",IFERROR(INDEX(Denetimler!$B:$B,MATCH($A53,Denetimler!$A:$A,0)),"No yok"))</f>
        <v>46070</v>
      </c>
    </row>
    <row r="54" customFormat="false" ht="15" hidden="false" customHeight="false" outlineLevel="0" collapsed="false">
      <c r="A54" s="24" t="s">
        <v>118</v>
      </c>
      <c r="B54" s="24" t="s">
        <v>226</v>
      </c>
      <c r="C54" s="24" t="s">
        <v>206</v>
      </c>
      <c r="D54" s="19" t="str">
        <f aca="false">IF($B54="","",IFERROR(INDEX(Madde_Listesi!$C:$C,MATCH($B54,Madde_Listesi!$B:$B,0)),"Kod yok"))</f>
        <v>Kasa farkları kayıt altına alınmış ve açıklanmış</v>
      </c>
      <c r="E54" s="19" t="str">
        <f aca="false">IF($B54="","",IFERROR(INDEX(Madde_Listesi!$D:$D,MATCH($B54,Madde_Listesi!$B:$B,0)),"Kod yok"))</f>
        <v>Nakit</v>
      </c>
      <c r="F54" s="19" t="str">
        <f aca="false">IF($B54="","",IFERROR(INDEX(Madde_Listesi!$E:$E,MATCH($B54,Madde_Listesi!$B:$B,0)),"Kod yok"))</f>
        <v>Kritik</v>
      </c>
      <c r="G54" s="19" t="str">
        <f aca="false">IF($B54="","",IFERROR(INDEX(Madde_Listesi!$F:$F,MATCH($B54,Madde_Listesi!$B:$B,0)),"Kod yok"))</f>
        <v>Kasa prosedürleri</v>
      </c>
      <c r="H54" s="19" t="str">
        <f aca="false">IF($A54="","",IFERROR(INDEX(Denetimler!$C:$C,MATCH($A54,Denetimler!$A:$A,0)),"No yok"))</f>
        <v>Mağaza F</v>
      </c>
      <c r="I54" s="19" t="str">
        <f aca="false">IF($A54="","",IFERROR(INDEX(Denetimler!$D:$D,MATCH($A54,Denetimler!$A:$A,0)),"No yok"))</f>
        <v>PAP</v>
      </c>
      <c r="J54" s="19" t="str">
        <f aca="false">IF($A54="","",IFERROR(INDEX(Denetimler!$E:$E,MATCH($A54,Denetimler!$A:$A,0)),"No yok"))</f>
        <v>İç denetim</v>
      </c>
      <c r="K54" s="25" t="n">
        <f aca="false">IF($A54="","",IFERROR(INDEX(Denetimler!$B:$B,MATCH($A54,Denetimler!$A:$A,0)),"No yok"))</f>
        <v>46045</v>
      </c>
    </row>
    <row r="55" customFormat="false" ht="15" hidden="false" customHeight="false" outlineLevel="0" collapsed="false">
      <c r="A55" s="24" t="s">
        <v>118</v>
      </c>
      <c r="B55" s="24" t="s">
        <v>226</v>
      </c>
      <c r="C55" s="24" t="s">
        <v>206</v>
      </c>
      <c r="D55" s="19" t="str">
        <f aca="false">IF($B55="","",IFERROR(INDEX(Madde_Listesi!$C:$C,MATCH($B55,Madde_Listesi!$B:$B,0)),"Kod yok"))</f>
        <v>Kasa farkları kayıt altına alınmış ve açıklanmış</v>
      </c>
      <c r="E55" s="19" t="str">
        <f aca="false">IF($B55="","",IFERROR(INDEX(Madde_Listesi!$D:$D,MATCH($B55,Madde_Listesi!$B:$B,0)),"Kod yok"))</f>
        <v>Nakit</v>
      </c>
      <c r="F55" s="19" t="str">
        <f aca="false">IF($B55="","",IFERROR(INDEX(Madde_Listesi!$E:$E,MATCH($B55,Madde_Listesi!$B:$B,0)),"Kod yok"))</f>
        <v>Kritik</v>
      </c>
      <c r="G55" s="19" t="str">
        <f aca="false">IF($B55="","",IFERROR(INDEX(Madde_Listesi!$F:$F,MATCH($B55,Madde_Listesi!$B:$B,0)),"Kod yok"))</f>
        <v>Kasa prosedürleri</v>
      </c>
      <c r="H55" s="19" t="str">
        <f aca="false">IF($A55="","",IFERROR(INDEX(Denetimler!$C:$C,MATCH($A55,Denetimler!$A:$A,0)),"No yok"))</f>
        <v>Mağaza F</v>
      </c>
      <c r="I55" s="19" t="str">
        <f aca="false">IF($A55="","",IFERROR(INDEX(Denetimler!$D:$D,MATCH($A55,Denetimler!$A:$A,0)),"No yok"))</f>
        <v>PAP</v>
      </c>
      <c r="J55" s="19" t="str">
        <f aca="false">IF($A55="","",IFERROR(INDEX(Denetimler!$E:$E,MATCH($A55,Denetimler!$A:$A,0)),"No yok"))</f>
        <v>İç denetim</v>
      </c>
      <c r="K55" s="25" t="n">
        <f aca="false">IF($A55="","",IFERROR(INDEX(Denetimler!$B:$B,MATCH($A55,Denetimler!$A:$A,0)),"No yok"))</f>
        <v>46045</v>
      </c>
    </row>
    <row r="56" customFormat="false" ht="15" hidden="false" customHeight="false" outlineLevel="0" collapsed="false">
      <c r="A56" s="24" t="s">
        <v>118</v>
      </c>
      <c r="B56" s="24" t="s">
        <v>226</v>
      </c>
      <c r="C56" s="24" t="s">
        <v>206</v>
      </c>
      <c r="D56" s="19" t="str">
        <f aca="false">IF($B56="","",IFERROR(INDEX(Madde_Listesi!$C:$C,MATCH($B56,Madde_Listesi!$B:$B,0)),"Kod yok"))</f>
        <v>Kasa farkları kayıt altına alınmış ve açıklanmış</v>
      </c>
      <c r="E56" s="19" t="str">
        <f aca="false">IF($B56="","",IFERROR(INDEX(Madde_Listesi!$D:$D,MATCH($B56,Madde_Listesi!$B:$B,0)),"Kod yok"))</f>
        <v>Nakit</v>
      </c>
      <c r="F56" s="19" t="str">
        <f aca="false">IF($B56="","",IFERROR(INDEX(Madde_Listesi!$E:$E,MATCH($B56,Madde_Listesi!$B:$B,0)),"Kod yok"))</f>
        <v>Kritik</v>
      </c>
      <c r="G56" s="19" t="str">
        <f aca="false">IF($B56="","",IFERROR(INDEX(Madde_Listesi!$F:$F,MATCH($B56,Madde_Listesi!$B:$B,0)),"Kod yok"))</f>
        <v>Kasa prosedürleri</v>
      </c>
      <c r="H56" s="19" t="str">
        <f aca="false">IF($A56="","",IFERROR(INDEX(Denetimler!$C:$C,MATCH($A56,Denetimler!$A:$A,0)),"No yok"))</f>
        <v>Mağaza F</v>
      </c>
      <c r="I56" s="19" t="str">
        <f aca="false">IF($A56="","",IFERROR(INDEX(Denetimler!$D:$D,MATCH($A56,Denetimler!$A:$A,0)),"No yok"))</f>
        <v>PAP</v>
      </c>
      <c r="J56" s="19" t="str">
        <f aca="false">IF($A56="","",IFERROR(INDEX(Denetimler!$E:$E,MATCH($A56,Denetimler!$A:$A,0)),"No yok"))</f>
        <v>İç denetim</v>
      </c>
      <c r="K56" s="25" t="n">
        <f aca="false">IF($A56="","",IFERROR(INDEX(Denetimler!$B:$B,MATCH($A56,Denetimler!$A:$A,0)),"No yok"))</f>
        <v>46045</v>
      </c>
    </row>
    <row r="57" customFormat="false" ht="15" hidden="false" customHeight="false" outlineLevel="0" collapsed="false">
      <c r="A57" s="24" t="s">
        <v>116</v>
      </c>
      <c r="B57" s="24" t="s">
        <v>210</v>
      </c>
      <c r="C57" s="24" t="s">
        <v>206</v>
      </c>
      <c r="D57" s="19" t="str">
        <f aca="false">IF($B57="","",IFERROR(INDEX(Madde_Listesi!$C:$C,MATCH($B57,Madde_Listesi!$B:$B,0)),"Kod yok"))</f>
        <v>Kimyasallar etiketli ve gıdadan ayrı saklanıyor</v>
      </c>
      <c r="E57" s="19" t="str">
        <f aca="false">IF($B57="","",IFERROR(INDEX(Madde_Listesi!$D:$D,MATCH($B57,Madde_Listesi!$B:$B,0)),"Kod yok"))</f>
        <v>Bulaşma</v>
      </c>
      <c r="F57" s="19" t="str">
        <f aca="false">IF($B57="","",IFERROR(INDEX(Madde_Listesi!$E:$E,MATCH($B57,Madde_Listesi!$B:$B,0)),"Kod yok"))</f>
        <v>Major</v>
      </c>
      <c r="G57" s="19" t="str">
        <f aca="false">IF($B57="","",IFERROR(INDEX(Madde_Listesi!$F:$F,MATCH($B57,Madde_Listesi!$B:$B,0)),"Kod yok"))</f>
        <v>Kimyasal güvenliği</v>
      </c>
      <c r="H57" s="19" t="str">
        <f aca="false">IF($A57="","",IFERROR(INDEX(Denetimler!$C:$C,MATCH($A57,Denetimler!$A:$A,0)),"No yok"))</f>
        <v>Mağaza F</v>
      </c>
      <c r="I57" s="19" t="str">
        <f aca="false">IF($A57="","",IFERROR(INDEX(Denetimler!$D:$D,MATCH($A57,Denetimler!$A:$A,0)),"No yok"))</f>
        <v>RSA</v>
      </c>
      <c r="J57" s="19" t="str">
        <f aca="false">IF($A57="","",IFERROR(INDEX(Denetimler!$E:$E,MATCH($A57,Denetimler!$A:$A,0)),"No yok"))</f>
        <v>İç denetim</v>
      </c>
      <c r="K57" s="25" t="n">
        <f aca="false">IF($A57="","",IFERROR(INDEX(Denetimler!$B:$B,MATCH($A57,Denetimler!$A:$A,0)),"No yok"))</f>
        <v>46043</v>
      </c>
    </row>
    <row r="58" customFormat="false" ht="15" hidden="false" customHeight="false" outlineLevel="0" collapsed="false">
      <c r="A58" s="24" t="s">
        <v>116</v>
      </c>
      <c r="B58" s="24" t="s">
        <v>214</v>
      </c>
      <c r="C58" s="24" t="s">
        <v>206</v>
      </c>
      <c r="D58" s="19" t="str">
        <f aca="false">IF($B58="","",IFERROR(INDEX(Madde_Listesi!$C:$C,MATCH($B58,Madde_Listesi!$B:$B,0)),"Kod yok"))</f>
        <v>Sıcaklık kayıtları tam ve zamanında tutulmuş</v>
      </c>
      <c r="E58" s="19" t="str">
        <f aca="false">IF($B58="","",IFERROR(INDEX(Madde_Listesi!$D:$D,MATCH($B58,Madde_Listesi!$B:$B,0)),"Kod yok"))</f>
        <v>Sıcaklık</v>
      </c>
      <c r="F58" s="19" t="str">
        <f aca="false">IF($B58="","",IFERROR(INDEX(Madde_Listesi!$E:$E,MATCH($B58,Madde_Listesi!$B:$B,0)),"Kod yok"))</f>
        <v>Major</v>
      </c>
      <c r="G58" s="19" t="str">
        <f aca="false">IF($B58="","",IFERROR(INDEX(Madde_Listesi!$F:$F,MATCH($B58,Madde_Listesi!$B:$B,0)),"Kod yok"))</f>
        <v>Soğuk zincir ve sıcaklık kontrolü</v>
      </c>
      <c r="H58" s="19" t="str">
        <f aca="false">IF($A58="","",IFERROR(INDEX(Denetimler!$C:$C,MATCH($A58,Denetimler!$A:$A,0)),"No yok"))</f>
        <v>Mağaza F</v>
      </c>
      <c r="I58" s="19" t="str">
        <f aca="false">IF($A58="","",IFERROR(INDEX(Denetimler!$D:$D,MATCH($A58,Denetimler!$A:$A,0)),"No yok"))</f>
        <v>RSA</v>
      </c>
      <c r="J58" s="19" t="str">
        <f aca="false">IF($A58="","",IFERROR(INDEX(Denetimler!$E:$E,MATCH($A58,Denetimler!$A:$A,0)),"No yok"))</f>
        <v>İç denetim</v>
      </c>
      <c r="K58" s="25" t="n">
        <f aca="false">IF($A58="","",IFERROR(INDEX(Denetimler!$B:$B,MATCH($A58,Denetimler!$A:$A,0)),"No yok"))</f>
        <v>46043</v>
      </c>
    </row>
    <row r="59" customFormat="false" ht="15" hidden="false" customHeight="false" outlineLevel="0" collapsed="false">
      <c r="A59" s="24" t="s">
        <v>116</v>
      </c>
      <c r="B59" s="24" t="s">
        <v>210</v>
      </c>
      <c r="C59" s="24" t="s">
        <v>206</v>
      </c>
      <c r="D59" s="19" t="str">
        <f aca="false">IF($B59="","",IFERROR(INDEX(Madde_Listesi!$C:$C,MATCH($B59,Madde_Listesi!$B:$B,0)),"Kod yok"))</f>
        <v>Kimyasallar etiketli ve gıdadan ayrı saklanıyor</v>
      </c>
      <c r="E59" s="19" t="str">
        <f aca="false">IF($B59="","",IFERROR(INDEX(Madde_Listesi!$D:$D,MATCH($B59,Madde_Listesi!$B:$B,0)),"Kod yok"))</f>
        <v>Bulaşma</v>
      </c>
      <c r="F59" s="19" t="str">
        <f aca="false">IF($B59="","",IFERROR(INDEX(Madde_Listesi!$E:$E,MATCH($B59,Madde_Listesi!$B:$B,0)),"Kod yok"))</f>
        <v>Major</v>
      </c>
      <c r="G59" s="19" t="str">
        <f aca="false">IF($B59="","",IFERROR(INDEX(Madde_Listesi!$F:$F,MATCH($B59,Madde_Listesi!$B:$B,0)),"Kod yok"))</f>
        <v>Kimyasal güvenliği</v>
      </c>
      <c r="H59" s="19" t="str">
        <f aca="false">IF($A59="","",IFERROR(INDEX(Denetimler!$C:$C,MATCH($A59,Denetimler!$A:$A,0)),"No yok"))</f>
        <v>Mağaza F</v>
      </c>
      <c r="I59" s="19" t="str">
        <f aca="false">IF($A59="","",IFERROR(INDEX(Denetimler!$D:$D,MATCH($A59,Denetimler!$A:$A,0)),"No yok"))</f>
        <v>RSA</v>
      </c>
      <c r="J59" s="19" t="str">
        <f aca="false">IF($A59="","",IFERROR(INDEX(Denetimler!$E:$E,MATCH($A59,Denetimler!$A:$A,0)),"No yok"))</f>
        <v>İç denetim</v>
      </c>
      <c r="K59" s="25" t="n">
        <f aca="false">IF($A59="","",IFERROR(INDEX(Denetimler!$B:$B,MATCH($A59,Denetimler!$A:$A,0)),"No yok"))</f>
        <v>46043</v>
      </c>
    </row>
    <row r="60" customFormat="false" ht="15" hidden="false" customHeight="false" outlineLevel="0" collapsed="false">
      <c r="A60" s="24" t="s">
        <v>116</v>
      </c>
      <c r="B60" s="24" t="s">
        <v>223</v>
      </c>
      <c r="C60" s="24" t="s">
        <v>206</v>
      </c>
      <c r="D60" s="19" t="str">
        <f aca="false">IF($B60="","",IFERROR(INDEX(Madde_Listesi!$C:$C,MATCH($B60,Madde_Listesi!$B:$B,0)),"Kod yok"))</f>
        <v>Ürünlerin son kullanma tarihleri geçerli ve etiketli</v>
      </c>
      <c r="E60" s="19" t="str">
        <f aca="false">IF($B60="","",IFERROR(INDEX(Madde_Listesi!$D:$D,MATCH($B60,Madde_Listesi!$B:$B,0)),"Kod yok"))</f>
        <v>Bulaşma</v>
      </c>
      <c r="F60" s="19" t="str">
        <f aca="false">IF($B60="","",IFERROR(INDEX(Madde_Listesi!$E:$E,MATCH($B60,Madde_Listesi!$B:$B,0)),"Kod yok"))</f>
        <v>Kritik</v>
      </c>
      <c r="G60" s="19" t="str">
        <f aca="false">IF($B60="","",IFERROR(INDEX(Madde_Listesi!$F:$F,MATCH($B60,Madde_Listesi!$B:$B,0)),"Kod yok"))</f>
        <v>Ürün tarihleme ve etiketleme</v>
      </c>
      <c r="H60" s="19" t="str">
        <f aca="false">IF($A60="","",IFERROR(INDEX(Denetimler!$C:$C,MATCH($A60,Denetimler!$A:$A,0)),"No yok"))</f>
        <v>Mağaza F</v>
      </c>
      <c r="I60" s="19" t="str">
        <f aca="false">IF($A60="","",IFERROR(INDEX(Denetimler!$D:$D,MATCH($A60,Denetimler!$A:$A,0)),"No yok"))</f>
        <v>RSA</v>
      </c>
      <c r="J60" s="19" t="str">
        <f aca="false">IF($A60="","",IFERROR(INDEX(Denetimler!$E:$E,MATCH($A60,Denetimler!$A:$A,0)),"No yok"))</f>
        <v>İç denetim</v>
      </c>
      <c r="K60" s="25" t="n">
        <f aca="false">IF($A60="","",IFERROR(INDEX(Denetimler!$B:$B,MATCH($A60,Denetimler!$A:$A,0)),"No yok"))</f>
        <v>46043</v>
      </c>
    </row>
    <row r="61" customFormat="false" ht="15" hidden="false" customHeight="false" outlineLevel="0" collapsed="false">
      <c r="A61" s="24" t="s">
        <v>126</v>
      </c>
      <c r="B61" s="24" t="s">
        <v>207</v>
      </c>
      <c r="C61" s="24" t="s">
        <v>206</v>
      </c>
      <c r="D61" s="19" t="str">
        <f aca="false">IF($B61="","",IFERROR(INDEX(Madde_Listesi!$C:$C,MATCH($B61,Madde_Listesi!$B:$B,0)),"Kod yok"))</f>
        <v>Vardiya planı yoğunluğa uygun hazırlanmış</v>
      </c>
      <c r="E61" s="19" t="str">
        <f aca="false">IF($B61="","",IFERROR(INDEX(Madde_Listesi!$D:$D,MATCH($B61,Madde_Listesi!$B:$B,0)),"Kod yok"))</f>
        <v>Operasyon</v>
      </c>
      <c r="F61" s="19" t="str">
        <f aca="false">IF($B61="","",IFERROR(INDEX(Madde_Listesi!$E:$E,MATCH($B61,Madde_Listesi!$B:$B,0)),"Kod yok"))</f>
        <v>Major</v>
      </c>
      <c r="G61" s="19" t="str">
        <f aca="false">IF($B61="","",IFERROR(INDEX(Madde_Listesi!$F:$F,MATCH($B61,Madde_Listesi!$B:$B,0)),"Kod yok"))</f>
        <v>Vardiya planlama</v>
      </c>
      <c r="H61" s="19" t="str">
        <f aca="false">IF($A61="","",IFERROR(INDEX(Denetimler!$C:$C,MATCH($A61,Denetimler!$A:$A,0)),"No yok"))</f>
        <v>Mağaza G</v>
      </c>
      <c r="I61" s="19" t="str">
        <f aca="false">IF($A61="","",IFERROR(INDEX(Denetimler!$D:$D,MATCH($A61,Denetimler!$A:$A,0)),"No yok"))</f>
        <v>ASA</v>
      </c>
      <c r="J61" s="19" t="str">
        <f aca="false">IF($A61="","",IFERROR(INDEX(Denetimler!$E:$E,MATCH($A61,Denetimler!$A:$A,0)),"No yok"))</f>
        <v>İç denetim</v>
      </c>
      <c r="K61" s="25" t="n">
        <f aca="false">IF($A61="","",IFERROR(INDEX(Denetimler!$B:$B,MATCH($A61,Denetimler!$A:$A,0)),"No yok"))</f>
        <v>46059</v>
      </c>
    </row>
    <row r="62" customFormat="false" ht="15" hidden="false" customHeight="false" outlineLevel="0" collapsed="false">
      <c r="A62" s="24" t="s">
        <v>126</v>
      </c>
      <c r="B62" s="24" t="s">
        <v>215</v>
      </c>
      <c r="C62" s="24" t="s">
        <v>206</v>
      </c>
      <c r="D62" s="19" t="str">
        <f aca="false">IF($B62="","",IFERROR(INDEX(Madde_Listesi!$C:$C,MATCH($B62,Madde_Listesi!$B:$B,0)),"Kod yok"))</f>
        <v>Ekipman bakım kayıtları güncel</v>
      </c>
      <c r="E62" s="19" t="str">
        <f aca="false">IF($B62="","",IFERROR(INDEX(Madde_Listesi!$D:$D,MATCH($B62,Madde_Listesi!$B:$B,0)),"Kod yok"))</f>
        <v>Ekipman</v>
      </c>
      <c r="F62" s="19" t="str">
        <f aca="false">IF($B62="","",IFERROR(INDEX(Madde_Listesi!$E:$E,MATCH($B62,Madde_Listesi!$B:$B,0)),"Kod yok"))</f>
        <v>Minör</v>
      </c>
      <c r="G62" s="19" t="str">
        <f aca="false">IF($B62="","",IFERROR(INDEX(Madde_Listesi!$F:$F,MATCH($B62,Madde_Listesi!$B:$B,0)),"Kod yok"))</f>
        <v>Ekipman bakımı</v>
      </c>
      <c r="H62" s="19" t="str">
        <f aca="false">IF($A62="","",IFERROR(INDEX(Denetimler!$C:$C,MATCH($A62,Denetimler!$A:$A,0)),"No yok"))</f>
        <v>Mağaza G</v>
      </c>
      <c r="I62" s="19" t="str">
        <f aca="false">IF($A62="","",IFERROR(INDEX(Denetimler!$D:$D,MATCH($A62,Denetimler!$A:$A,0)),"No yok"))</f>
        <v>ASA</v>
      </c>
      <c r="J62" s="19" t="str">
        <f aca="false">IF($A62="","",IFERROR(INDEX(Denetimler!$E:$E,MATCH($A62,Denetimler!$A:$A,0)),"No yok"))</f>
        <v>İç denetim</v>
      </c>
      <c r="K62" s="25" t="n">
        <f aca="false">IF($A62="","",IFERROR(INDEX(Denetimler!$B:$B,MATCH($A62,Denetimler!$A:$A,0)),"No yok"))</f>
        <v>46059</v>
      </c>
    </row>
    <row r="63" customFormat="false" ht="15" hidden="false" customHeight="false" outlineLevel="0" collapsed="false">
      <c r="A63" s="24" t="s">
        <v>126</v>
      </c>
      <c r="B63" s="24" t="s">
        <v>207</v>
      </c>
      <c r="C63" s="24" t="s">
        <v>206</v>
      </c>
      <c r="D63" s="19" t="str">
        <f aca="false">IF($B63="","",IFERROR(INDEX(Madde_Listesi!$C:$C,MATCH($B63,Madde_Listesi!$B:$B,0)),"Kod yok"))</f>
        <v>Vardiya planı yoğunluğa uygun hazırlanmış</v>
      </c>
      <c r="E63" s="19" t="str">
        <f aca="false">IF($B63="","",IFERROR(INDEX(Madde_Listesi!$D:$D,MATCH($B63,Madde_Listesi!$B:$B,0)),"Kod yok"))</f>
        <v>Operasyon</v>
      </c>
      <c r="F63" s="19" t="str">
        <f aca="false">IF($B63="","",IFERROR(INDEX(Madde_Listesi!$E:$E,MATCH($B63,Madde_Listesi!$B:$B,0)),"Kod yok"))</f>
        <v>Major</v>
      </c>
      <c r="G63" s="19" t="str">
        <f aca="false">IF($B63="","",IFERROR(INDEX(Madde_Listesi!$F:$F,MATCH($B63,Madde_Listesi!$B:$B,0)),"Kod yok"))</f>
        <v>Vardiya planlama</v>
      </c>
      <c r="H63" s="19" t="str">
        <f aca="false">IF($A63="","",IFERROR(INDEX(Denetimler!$C:$C,MATCH($A63,Denetimler!$A:$A,0)),"No yok"))</f>
        <v>Mağaza G</v>
      </c>
      <c r="I63" s="19" t="str">
        <f aca="false">IF($A63="","",IFERROR(INDEX(Denetimler!$D:$D,MATCH($A63,Denetimler!$A:$A,0)),"No yok"))</f>
        <v>ASA</v>
      </c>
      <c r="J63" s="19" t="str">
        <f aca="false">IF($A63="","",IFERROR(INDEX(Denetimler!$E:$E,MATCH($A63,Denetimler!$A:$A,0)),"No yok"))</f>
        <v>İç denetim</v>
      </c>
      <c r="K63" s="25" t="n">
        <f aca="false">IF($A63="","",IFERROR(INDEX(Denetimler!$B:$B,MATCH($A63,Denetimler!$A:$A,0)),"No yok"))</f>
        <v>46059</v>
      </c>
    </row>
    <row r="64" customFormat="false" ht="15" hidden="false" customHeight="false" outlineLevel="0" collapsed="false">
      <c r="A64" s="24" t="s">
        <v>126</v>
      </c>
      <c r="B64" s="24" t="s">
        <v>207</v>
      </c>
      <c r="C64" s="24" t="s">
        <v>206</v>
      </c>
      <c r="D64" s="19" t="str">
        <f aca="false">IF($B64="","",IFERROR(INDEX(Madde_Listesi!$C:$C,MATCH($B64,Madde_Listesi!$B:$B,0)),"Kod yok"))</f>
        <v>Vardiya planı yoğunluğa uygun hazırlanmış</v>
      </c>
      <c r="E64" s="19" t="str">
        <f aca="false">IF($B64="","",IFERROR(INDEX(Madde_Listesi!$D:$D,MATCH($B64,Madde_Listesi!$B:$B,0)),"Kod yok"))</f>
        <v>Operasyon</v>
      </c>
      <c r="F64" s="19" t="str">
        <f aca="false">IF($B64="","",IFERROR(INDEX(Madde_Listesi!$E:$E,MATCH($B64,Madde_Listesi!$B:$B,0)),"Kod yok"))</f>
        <v>Major</v>
      </c>
      <c r="G64" s="19" t="str">
        <f aca="false">IF($B64="","",IFERROR(INDEX(Madde_Listesi!$F:$F,MATCH($B64,Madde_Listesi!$B:$B,0)),"Kod yok"))</f>
        <v>Vardiya planlama</v>
      </c>
      <c r="H64" s="19" t="str">
        <f aca="false">IF($A64="","",IFERROR(INDEX(Denetimler!$C:$C,MATCH($A64,Denetimler!$A:$A,0)),"No yok"))</f>
        <v>Mağaza G</v>
      </c>
      <c r="I64" s="19" t="str">
        <f aca="false">IF($A64="","",IFERROR(INDEX(Denetimler!$D:$D,MATCH($A64,Denetimler!$A:$A,0)),"No yok"))</f>
        <v>ASA</v>
      </c>
      <c r="J64" s="19" t="str">
        <f aca="false">IF($A64="","",IFERROR(INDEX(Denetimler!$E:$E,MATCH($A64,Denetimler!$A:$A,0)),"No yok"))</f>
        <v>İç denetim</v>
      </c>
      <c r="K64" s="25" t="n">
        <f aca="false">IF($A64="","",IFERROR(INDEX(Denetimler!$B:$B,MATCH($A64,Denetimler!$A:$A,0)),"No yok"))</f>
        <v>46059</v>
      </c>
    </row>
    <row r="65" customFormat="false" ht="15" hidden="false" customHeight="false" outlineLevel="0" collapsed="false">
      <c r="A65" s="24" t="s">
        <v>126</v>
      </c>
      <c r="B65" s="24" t="s">
        <v>207</v>
      </c>
      <c r="C65" s="24" t="s">
        <v>206</v>
      </c>
      <c r="D65" s="19" t="str">
        <f aca="false">IF($B65="","",IFERROR(INDEX(Madde_Listesi!$C:$C,MATCH($B65,Madde_Listesi!$B:$B,0)),"Kod yok"))</f>
        <v>Vardiya planı yoğunluğa uygun hazırlanmış</v>
      </c>
      <c r="E65" s="19" t="str">
        <f aca="false">IF($B65="","",IFERROR(INDEX(Madde_Listesi!$D:$D,MATCH($B65,Madde_Listesi!$B:$B,0)),"Kod yok"))</f>
        <v>Operasyon</v>
      </c>
      <c r="F65" s="19" t="str">
        <f aca="false">IF($B65="","",IFERROR(INDEX(Madde_Listesi!$E:$E,MATCH($B65,Madde_Listesi!$B:$B,0)),"Kod yok"))</f>
        <v>Major</v>
      </c>
      <c r="G65" s="19" t="str">
        <f aca="false">IF($B65="","",IFERROR(INDEX(Madde_Listesi!$F:$F,MATCH($B65,Madde_Listesi!$B:$B,0)),"Kod yok"))</f>
        <v>Vardiya planlama</v>
      </c>
      <c r="H65" s="19" t="str">
        <f aca="false">IF($A65="","",IFERROR(INDEX(Denetimler!$C:$C,MATCH($A65,Denetimler!$A:$A,0)),"No yok"))</f>
        <v>Mağaza G</v>
      </c>
      <c r="I65" s="19" t="str">
        <f aca="false">IF($A65="","",IFERROR(INDEX(Denetimler!$D:$D,MATCH($A65,Denetimler!$A:$A,0)),"No yok"))</f>
        <v>ASA</v>
      </c>
      <c r="J65" s="19" t="str">
        <f aca="false">IF($A65="","",IFERROR(INDEX(Denetimler!$E:$E,MATCH($A65,Denetimler!$A:$A,0)),"No yok"))</f>
        <v>İç denetim</v>
      </c>
      <c r="K65" s="25" t="n">
        <f aca="false">IF($A65="","",IFERROR(INDEX(Denetimler!$B:$B,MATCH($A65,Denetimler!$A:$A,0)),"No yok"))</f>
        <v>46059</v>
      </c>
    </row>
    <row r="66" customFormat="false" ht="15" hidden="false" customHeight="false" outlineLevel="0" collapsed="false">
      <c r="A66" s="24" t="s">
        <v>126</v>
      </c>
      <c r="B66" s="24" t="s">
        <v>207</v>
      </c>
      <c r="C66" s="24" t="s">
        <v>206</v>
      </c>
      <c r="D66" s="19" t="str">
        <f aca="false">IF($B66="","",IFERROR(INDEX(Madde_Listesi!$C:$C,MATCH($B66,Madde_Listesi!$B:$B,0)),"Kod yok"))</f>
        <v>Vardiya planı yoğunluğa uygun hazırlanmış</v>
      </c>
      <c r="E66" s="19" t="str">
        <f aca="false">IF($B66="","",IFERROR(INDEX(Madde_Listesi!$D:$D,MATCH($B66,Madde_Listesi!$B:$B,0)),"Kod yok"))</f>
        <v>Operasyon</v>
      </c>
      <c r="F66" s="19" t="str">
        <f aca="false">IF($B66="","",IFERROR(INDEX(Madde_Listesi!$E:$E,MATCH($B66,Madde_Listesi!$B:$B,0)),"Kod yok"))</f>
        <v>Major</v>
      </c>
      <c r="G66" s="19" t="str">
        <f aca="false">IF($B66="","",IFERROR(INDEX(Madde_Listesi!$F:$F,MATCH($B66,Madde_Listesi!$B:$B,0)),"Kod yok"))</f>
        <v>Vardiya planlama</v>
      </c>
      <c r="H66" s="19" t="str">
        <f aca="false">IF($A66="","",IFERROR(INDEX(Denetimler!$C:$C,MATCH($A66,Denetimler!$A:$A,0)),"No yok"))</f>
        <v>Mağaza G</v>
      </c>
      <c r="I66" s="19" t="str">
        <f aca="false">IF($A66="","",IFERROR(INDEX(Denetimler!$D:$D,MATCH($A66,Denetimler!$A:$A,0)),"No yok"))</f>
        <v>ASA</v>
      </c>
      <c r="J66" s="19" t="str">
        <f aca="false">IF($A66="","",IFERROR(INDEX(Denetimler!$E:$E,MATCH($A66,Denetimler!$A:$A,0)),"No yok"))</f>
        <v>İç denetim</v>
      </c>
      <c r="K66" s="25" t="n">
        <f aca="false">IF($A66="","",IFERROR(INDEX(Denetimler!$B:$B,MATCH($A66,Denetimler!$A:$A,0)),"No yok"))</f>
        <v>46059</v>
      </c>
    </row>
    <row r="67" customFormat="false" ht="15" hidden="false" customHeight="false" outlineLevel="0" collapsed="false">
      <c r="A67" s="24" t="s">
        <v>128</v>
      </c>
      <c r="B67" s="24" t="s">
        <v>225</v>
      </c>
      <c r="C67" s="24" t="s">
        <v>206</v>
      </c>
      <c r="D67" s="19" t="str">
        <f aca="false">IF($B67="","",IFERROR(INDEX(Madde_Listesi!$C:$C,MATCH($B67,Madde_Listesi!$B:$B,0)),"Kod yok"))</f>
        <v>Fire ve zayi kayıtları belgeli</v>
      </c>
      <c r="E67" s="19" t="str">
        <f aca="false">IF($B67="","",IFERROR(INDEX(Madde_Listesi!$D:$D,MATCH($B67,Madde_Listesi!$B:$B,0)),"Kod yok"))</f>
        <v>Stok</v>
      </c>
      <c r="F67" s="19" t="str">
        <f aca="false">IF($B67="","",IFERROR(INDEX(Madde_Listesi!$E:$E,MATCH($B67,Madde_Listesi!$B:$B,0)),"Kod yok"))</f>
        <v>Major</v>
      </c>
      <c r="G67" s="19" t="str">
        <f aca="false">IF($B67="","",IFERROR(INDEX(Madde_Listesi!$F:$F,MATCH($B67,Madde_Listesi!$B:$B,0)),"Kod yok"))</f>
        <v>Stok ve sipariş yönetimi</v>
      </c>
      <c r="H67" s="19" t="str">
        <f aca="false">IF($A67="","",IFERROR(INDEX(Denetimler!$C:$C,MATCH($A67,Denetimler!$A:$A,0)),"No yok"))</f>
        <v>Mağaza G</v>
      </c>
      <c r="I67" s="19" t="str">
        <f aca="false">IF($A67="","",IFERROR(INDEX(Denetimler!$D:$D,MATCH($A67,Denetimler!$A:$A,0)),"No yok"))</f>
        <v>PAP</v>
      </c>
      <c r="J67" s="19" t="str">
        <f aca="false">IF($A67="","",IFERROR(INDEX(Denetimler!$E:$E,MATCH($A67,Denetimler!$A:$A,0)),"No yok"))</f>
        <v>İç denetim</v>
      </c>
      <c r="K67" s="25" t="n">
        <f aca="false">IF($A67="","",IFERROR(INDEX(Denetimler!$B:$B,MATCH($A67,Denetimler!$A:$A,0)),"No yok"))</f>
        <v>46061</v>
      </c>
    </row>
    <row r="68" customFormat="false" ht="15" hidden="false" customHeight="false" outlineLevel="0" collapsed="false">
      <c r="A68" s="24" t="s">
        <v>128</v>
      </c>
      <c r="B68" s="24" t="s">
        <v>225</v>
      </c>
      <c r="C68" s="24" t="s">
        <v>206</v>
      </c>
      <c r="D68" s="19" t="str">
        <f aca="false">IF($B68="","",IFERROR(INDEX(Madde_Listesi!$C:$C,MATCH($B68,Madde_Listesi!$B:$B,0)),"Kod yok"))</f>
        <v>Fire ve zayi kayıtları belgeli</v>
      </c>
      <c r="E68" s="19" t="str">
        <f aca="false">IF($B68="","",IFERROR(INDEX(Madde_Listesi!$D:$D,MATCH($B68,Madde_Listesi!$B:$B,0)),"Kod yok"))</f>
        <v>Stok</v>
      </c>
      <c r="F68" s="19" t="str">
        <f aca="false">IF($B68="","",IFERROR(INDEX(Madde_Listesi!$E:$E,MATCH($B68,Madde_Listesi!$B:$B,0)),"Kod yok"))</f>
        <v>Major</v>
      </c>
      <c r="G68" s="19" t="str">
        <f aca="false">IF($B68="","",IFERROR(INDEX(Madde_Listesi!$F:$F,MATCH($B68,Madde_Listesi!$B:$B,0)),"Kod yok"))</f>
        <v>Stok ve sipariş yönetimi</v>
      </c>
      <c r="H68" s="19" t="str">
        <f aca="false">IF($A68="","",IFERROR(INDEX(Denetimler!$C:$C,MATCH($A68,Denetimler!$A:$A,0)),"No yok"))</f>
        <v>Mağaza G</v>
      </c>
      <c r="I68" s="19" t="str">
        <f aca="false">IF($A68="","",IFERROR(INDEX(Denetimler!$D:$D,MATCH($A68,Denetimler!$A:$A,0)),"No yok"))</f>
        <v>PAP</v>
      </c>
      <c r="J68" s="19" t="str">
        <f aca="false">IF($A68="","",IFERROR(INDEX(Denetimler!$E:$E,MATCH($A68,Denetimler!$A:$A,0)),"No yok"))</f>
        <v>İç denetim</v>
      </c>
      <c r="K68" s="25" t="n">
        <f aca="false">IF($A68="","",IFERROR(INDEX(Denetimler!$B:$B,MATCH($A68,Denetimler!$A:$A,0)),"No yok"))</f>
        <v>46061</v>
      </c>
    </row>
    <row r="69" customFormat="false" ht="15" hidden="false" customHeight="false" outlineLevel="0" collapsed="false">
      <c r="A69" s="24" t="s">
        <v>128</v>
      </c>
      <c r="B69" s="24" t="s">
        <v>218</v>
      </c>
      <c r="C69" s="24" t="s">
        <v>206</v>
      </c>
      <c r="D69" s="19" t="str">
        <f aca="false">IF($B69="","",IFERROR(INDEX(Madde_Listesi!$C:$C,MATCH($B69,Madde_Listesi!$B:$B,0)),"Kod yok"))</f>
        <v>Depo ve kasa anahtarları yetkili kişide</v>
      </c>
      <c r="E69" s="19" t="str">
        <f aca="false">IF($B69="","",IFERROR(INDEX(Madde_Listesi!$D:$D,MATCH($B69,Madde_Listesi!$B:$B,0)),"Kod yok"))</f>
        <v>Güvenlik</v>
      </c>
      <c r="F69" s="19" t="str">
        <f aca="false">IF($B69="","",IFERROR(INDEX(Madde_Listesi!$E:$E,MATCH($B69,Madde_Listesi!$B:$B,0)),"Kod yok"))</f>
        <v>Major</v>
      </c>
      <c r="G69" s="19" t="str">
        <f aca="false">IF($B69="","",IFERROR(INDEX(Madde_Listesi!$F:$F,MATCH($B69,Madde_Listesi!$B:$B,0)),"Kod yok"))</f>
        <v>Mağaza güvenliği</v>
      </c>
      <c r="H69" s="19" t="str">
        <f aca="false">IF($A69="","",IFERROR(INDEX(Denetimler!$C:$C,MATCH($A69,Denetimler!$A:$A,0)),"No yok"))</f>
        <v>Mağaza G</v>
      </c>
      <c r="I69" s="19" t="str">
        <f aca="false">IF($A69="","",IFERROR(INDEX(Denetimler!$D:$D,MATCH($A69,Denetimler!$A:$A,0)),"No yok"))</f>
        <v>PAP</v>
      </c>
      <c r="J69" s="19" t="str">
        <f aca="false">IF($A69="","",IFERROR(INDEX(Denetimler!$E:$E,MATCH($A69,Denetimler!$A:$A,0)),"No yok"))</f>
        <v>İç denetim</v>
      </c>
      <c r="K69" s="25" t="n">
        <f aca="false">IF($A69="","",IFERROR(INDEX(Denetimler!$B:$B,MATCH($A69,Denetimler!$A:$A,0)),"No yok"))</f>
        <v>46061</v>
      </c>
    </row>
    <row r="70" customFormat="false" ht="15" hidden="false" customHeight="false" outlineLevel="0" collapsed="false">
      <c r="A70" s="24" t="s">
        <v>128</v>
      </c>
      <c r="B70" s="24" t="s">
        <v>226</v>
      </c>
      <c r="C70" s="24" t="s">
        <v>206</v>
      </c>
      <c r="D70" s="19" t="str">
        <f aca="false">IF($B70="","",IFERROR(INDEX(Madde_Listesi!$C:$C,MATCH($B70,Madde_Listesi!$B:$B,0)),"Kod yok"))</f>
        <v>Kasa farkları kayıt altına alınmış ve açıklanmış</v>
      </c>
      <c r="E70" s="19" t="str">
        <f aca="false">IF($B70="","",IFERROR(INDEX(Madde_Listesi!$D:$D,MATCH($B70,Madde_Listesi!$B:$B,0)),"Kod yok"))</f>
        <v>Nakit</v>
      </c>
      <c r="F70" s="19" t="str">
        <f aca="false">IF($B70="","",IFERROR(INDEX(Madde_Listesi!$E:$E,MATCH($B70,Madde_Listesi!$B:$B,0)),"Kod yok"))</f>
        <v>Kritik</v>
      </c>
      <c r="G70" s="19" t="str">
        <f aca="false">IF($B70="","",IFERROR(INDEX(Madde_Listesi!$F:$F,MATCH($B70,Madde_Listesi!$B:$B,0)),"Kod yok"))</f>
        <v>Kasa prosedürleri</v>
      </c>
      <c r="H70" s="19" t="str">
        <f aca="false">IF($A70="","",IFERROR(INDEX(Denetimler!$C:$C,MATCH($A70,Denetimler!$A:$A,0)),"No yok"))</f>
        <v>Mağaza G</v>
      </c>
      <c r="I70" s="19" t="str">
        <f aca="false">IF($A70="","",IFERROR(INDEX(Denetimler!$D:$D,MATCH($A70,Denetimler!$A:$A,0)),"No yok"))</f>
        <v>PAP</v>
      </c>
      <c r="J70" s="19" t="str">
        <f aca="false">IF($A70="","",IFERROR(INDEX(Denetimler!$E:$E,MATCH($A70,Denetimler!$A:$A,0)),"No yok"))</f>
        <v>İç denetim</v>
      </c>
      <c r="K70" s="25" t="n">
        <f aca="false">IF($A70="","",IFERROR(INDEX(Denetimler!$B:$B,MATCH($A70,Denetimler!$A:$A,0)),"No yok"))</f>
        <v>46061</v>
      </c>
    </row>
    <row r="71" customFormat="false" ht="15" hidden="false" customHeight="false" outlineLevel="0" collapsed="false">
      <c r="A71" s="24" t="s">
        <v>136</v>
      </c>
      <c r="B71" s="24" t="s">
        <v>213</v>
      </c>
      <c r="C71" s="24" t="s">
        <v>206</v>
      </c>
      <c r="D71" s="19" t="str">
        <f aca="false">IF($B71="","",IFERROR(INDEX(Madde_Listesi!$C:$C,MATCH($B71,Madde_Listesi!$B:$B,0)),"Kod yok"))</f>
        <v>Soğutucular uygun sıcaklıkta</v>
      </c>
      <c r="E71" s="19" t="str">
        <f aca="false">IF($B71="","",IFERROR(INDEX(Madde_Listesi!$D:$D,MATCH($B71,Madde_Listesi!$B:$B,0)),"Kod yok"))</f>
        <v>Sıcaklık</v>
      </c>
      <c r="F71" s="19" t="str">
        <f aca="false">IF($B71="","",IFERROR(INDEX(Madde_Listesi!$E:$E,MATCH($B71,Madde_Listesi!$B:$B,0)),"Kod yok"))</f>
        <v>Kritik</v>
      </c>
      <c r="G71" s="19" t="str">
        <f aca="false">IF($B71="","",IFERROR(INDEX(Madde_Listesi!$F:$F,MATCH($B71,Madde_Listesi!$B:$B,0)),"Kod yok"))</f>
        <v>Soğuk zincir ve sıcaklık kontrolü</v>
      </c>
      <c r="H71" s="19" t="str">
        <f aca="false">IF($A71="","",IFERROR(INDEX(Denetimler!$C:$C,MATCH($A71,Denetimler!$A:$A,0)),"No yok"))</f>
        <v>Mağaza G</v>
      </c>
      <c r="I71" s="19" t="str">
        <f aca="false">IF($A71="","",IFERROR(INDEX(Denetimler!$D:$D,MATCH($A71,Denetimler!$A:$A,0)),"No yok"))</f>
        <v>RSA</v>
      </c>
      <c r="J71" s="19" t="str">
        <f aca="false">IF($A71="","",IFERROR(INDEX(Denetimler!$E:$E,MATCH($A71,Denetimler!$A:$A,0)),"No yok"))</f>
        <v>İç denetim</v>
      </c>
      <c r="K71" s="25" t="n">
        <f aca="false">IF($A71="","",IFERROR(INDEX(Denetimler!$B:$B,MATCH($A71,Denetimler!$A:$A,0)),"No yok"))</f>
        <v>46079</v>
      </c>
    </row>
    <row r="72" customFormat="false" ht="15" hidden="false" customHeight="false" outlineLevel="0" collapsed="false">
      <c r="A72" s="24" t="s">
        <v>136</v>
      </c>
      <c r="B72" s="24" t="s">
        <v>214</v>
      </c>
      <c r="C72" s="24" t="s">
        <v>206</v>
      </c>
      <c r="D72" s="19" t="str">
        <f aca="false">IF($B72="","",IFERROR(INDEX(Madde_Listesi!$C:$C,MATCH($B72,Madde_Listesi!$B:$B,0)),"Kod yok"))</f>
        <v>Sıcaklık kayıtları tam ve zamanında tutulmuş</v>
      </c>
      <c r="E72" s="19" t="str">
        <f aca="false">IF($B72="","",IFERROR(INDEX(Madde_Listesi!$D:$D,MATCH($B72,Madde_Listesi!$B:$B,0)),"Kod yok"))</f>
        <v>Sıcaklık</v>
      </c>
      <c r="F72" s="19" t="str">
        <f aca="false">IF($B72="","",IFERROR(INDEX(Madde_Listesi!$E:$E,MATCH($B72,Madde_Listesi!$B:$B,0)),"Kod yok"))</f>
        <v>Major</v>
      </c>
      <c r="G72" s="19" t="str">
        <f aca="false">IF($B72="","",IFERROR(INDEX(Madde_Listesi!$F:$F,MATCH($B72,Madde_Listesi!$B:$B,0)),"Kod yok"))</f>
        <v>Soğuk zincir ve sıcaklık kontrolü</v>
      </c>
      <c r="H72" s="19" t="str">
        <f aca="false">IF($A72="","",IFERROR(INDEX(Denetimler!$C:$C,MATCH($A72,Denetimler!$A:$A,0)),"No yok"))</f>
        <v>Mağaza G</v>
      </c>
      <c r="I72" s="19" t="str">
        <f aca="false">IF($A72="","",IFERROR(INDEX(Denetimler!$D:$D,MATCH($A72,Denetimler!$A:$A,0)),"No yok"))</f>
        <v>RSA</v>
      </c>
      <c r="J72" s="19" t="str">
        <f aca="false">IF($A72="","",IFERROR(INDEX(Denetimler!$E:$E,MATCH($A72,Denetimler!$A:$A,0)),"No yok"))</f>
        <v>İç denetim</v>
      </c>
      <c r="K72" s="25" t="n">
        <f aca="false">IF($A72="","",IFERROR(INDEX(Denetimler!$B:$B,MATCH($A72,Denetimler!$A:$A,0)),"No yok"))</f>
        <v>46079</v>
      </c>
    </row>
    <row r="73" customFormat="false" ht="15" hidden="false" customHeight="false" outlineLevel="0" collapsed="false">
      <c r="A73" s="24" t="s">
        <v>136</v>
      </c>
      <c r="B73" s="24" t="s">
        <v>222</v>
      </c>
      <c r="C73" s="24" t="s">
        <v>206</v>
      </c>
      <c r="D73" s="19" t="str">
        <f aca="false">IF($B73="","",IFERROR(INDEX(Madde_Listesi!$C:$C,MATCH($B73,Madde_Listesi!$B:$B,0)),"Kod yok"))</f>
        <v>Çalışan takı ve kişisel hijyen kurallarına uyuyor</v>
      </c>
      <c r="E73" s="19" t="str">
        <f aca="false">IF($B73="","",IFERROR(INDEX(Madde_Listesi!$D:$D,MATCH($B73,Madde_Listesi!$B:$B,0)),"Kod yok"))</f>
        <v>Partner</v>
      </c>
      <c r="F73" s="19" t="str">
        <f aca="false">IF($B73="","",IFERROR(INDEX(Madde_Listesi!$E:$E,MATCH($B73,Madde_Listesi!$B:$B,0)),"Kod yok"))</f>
        <v>Major</v>
      </c>
      <c r="G73" s="19" t="str">
        <f aca="false">IF($B73="","",IFERROR(INDEX(Madde_Listesi!$F:$F,MATCH($B73,Madde_Listesi!$B:$B,0)),"Kod yok"))</f>
        <v>Kişisel hijyen</v>
      </c>
      <c r="H73" s="19" t="str">
        <f aca="false">IF($A73="","",IFERROR(INDEX(Denetimler!$C:$C,MATCH($A73,Denetimler!$A:$A,0)),"No yok"))</f>
        <v>Mağaza G</v>
      </c>
      <c r="I73" s="19" t="str">
        <f aca="false">IF($A73="","",IFERROR(INDEX(Denetimler!$D:$D,MATCH($A73,Denetimler!$A:$A,0)),"No yok"))</f>
        <v>RSA</v>
      </c>
      <c r="J73" s="19" t="str">
        <f aca="false">IF($A73="","",IFERROR(INDEX(Denetimler!$E:$E,MATCH($A73,Denetimler!$A:$A,0)),"No yok"))</f>
        <v>İç denetim</v>
      </c>
      <c r="K73" s="25" t="n">
        <f aca="false">IF($A73="","",IFERROR(INDEX(Denetimler!$B:$B,MATCH($A73,Denetimler!$A:$A,0)),"No yok"))</f>
        <v>46079</v>
      </c>
    </row>
    <row r="74" customFormat="false" ht="15" hidden="false" customHeight="false" outlineLevel="0" collapsed="false">
      <c r="A74" s="24" t="s">
        <v>136</v>
      </c>
      <c r="B74" s="24" t="s">
        <v>214</v>
      </c>
      <c r="C74" s="24" t="s">
        <v>206</v>
      </c>
      <c r="D74" s="19" t="str">
        <f aca="false">IF($B74="","",IFERROR(INDEX(Madde_Listesi!$C:$C,MATCH($B74,Madde_Listesi!$B:$B,0)),"Kod yok"))</f>
        <v>Sıcaklık kayıtları tam ve zamanında tutulmuş</v>
      </c>
      <c r="E74" s="19" t="str">
        <f aca="false">IF($B74="","",IFERROR(INDEX(Madde_Listesi!$D:$D,MATCH($B74,Madde_Listesi!$B:$B,0)),"Kod yok"))</f>
        <v>Sıcaklık</v>
      </c>
      <c r="F74" s="19" t="str">
        <f aca="false">IF($B74="","",IFERROR(INDEX(Madde_Listesi!$E:$E,MATCH($B74,Madde_Listesi!$B:$B,0)),"Kod yok"))</f>
        <v>Major</v>
      </c>
      <c r="G74" s="19" t="str">
        <f aca="false">IF($B74="","",IFERROR(INDEX(Madde_Listesi!$F:$F,MATCH($B74,Madde_Listesi!$B:$B,0)),"Kod yok"))</f>
        <v>Soğuk zincir ve sıcaklık kontrolü</v>
      </c>
      <c r="H74" s="19" t="str">
        <f aca="false">IF($A74="","",IFERROR(INDEX(Denetimler!$C:$C,MATCH($A74,Denetimler!$A:$A,0)),"No yok"))</f>
        <v>Mağaza G</v>
      </c>
      <c r="I74" s="19" t="str">
        <f aca="false">IF($A74="","",IFERROR(INDEX(Denetimler!$D:$D,MATCH($A74,Denetimler!$A:$A,0)),"No yok"))</f>
        <v>RSA</v>
      </c>
      <c r="J74" s="19" t="str">
        <f aca="false">IF($A74="","",IFERROR(INDEX(Denetimler!$E:$E,MATCH($A74,Denetimler!$A:$A,0)),"No yok"))</f>
        <v>İç denetim</v>
      </c>
      <c r="K74" s="25" t="n">
        <f aca="false">IF($A74="","",IFERROR(INDEX(Denetimler!$B:$B,MATCH($A74,Denetimler!$A:$A,0)),"No yok"))</f>
        <v>46079</v>
      </c>
    </row>
    <row r="75" customFormat="false" ht="15" hidden="false" customHeight="false" outlineLevel="0" collapsed="false">
      <c r="A75" s="24" t="s">
        <v>125</v>
      </c>
      <c r="B75" s="24" t="s">
        <v>205</v>
      </c>
      <c r="C75" s="24" t="s">
        <v>206</v>
      </c>
      <c r="D75" s="19" t="str">
        <f aca="false">IF($B75="","",IFERROR(INDEX(Madde_Listesi!$C:$C,MATCH($B75,Madde_Listesi!$B:$B,0)),"Kod yok"))</f>
        <v>Stok sayımı ve sipariş kayıtları tutarlı</v>
      </c>
      <c r="E75" s="19" t="str">
        <f aca="false">IF($B75="","",IFERROR(INDEX(Madde_Listesi!$D:$D,MATCH($B75,Madde_Listesi!$B:$B,0)),"Kod yok"))</f>
        <v>Stok</v>
      </c>
      <c r="F75" s="19" t="str">
        <f aca="false">IF($B75="","",IFERROR(INDEX(Madde_Listesi!$E:$E,MATCH($B75,Madde_Listesi!$B:$B,0)),"Kod yok"))</f>
        <v>Major</v>
      </c>
      <c r="G75" s="19" t="str">
        <f aca="false">IF($B75="","",IFERROR(INDEX(Madde_Listesi!$F:$F,MATCH($B75,Madde_Listesi!$B:$B,0)),"Kod yok"))</f>
        <v>Stok ve sipariş yönetimi</v>
      </c>
      <c r="H75" s="19" t="str">
        <f aca="false">IF($A75="","",IFERROR(INDEX(Denetimler!$C:$C,MATCH($A75,Denetimler!$A:$A,0)),"No yok"))</f>
        <v>Mağaza H</v>
      </c>
      <c r="I75" s="19" t="str">
        <f aca="false">IF($A75="","",IFERROR(INDEX(Denetimler!$D:$D,MATCH($A75,Denetimler!$A:$A,0)),"No yok"))</f>
        <v>ASA</v>
      </c>
      <c r="J75" s="19" t="str">
        <f aca="false">IF($A75="","",IFERROR(INDEX(Denetimler!$E:$E,MATCH($A75,Denetimler!$A:$A,0)),"No yok"))</f>
        <v>İç denetim</v>
      </c>
      <c r="K75" s="25" t="n">
        <f aca="false">IF($A75="","",IFERROR(INDEX(Denetimler!$B:$B,MATCH($A75,Denetimler!$A:$A,0)),"No yok"))</f>
        <v>46058</v>
      </c>
    </row>
    <row r="76" customFormat="false" ht="15" hidden="false" customHeight="false" outlineLevel="0" collapsed="false">
      <c r="A76" s="24" t="s">
        <v>125</v>
      </c>
      <c r="B76" s="24" t="s">
        <v>220</v>
      </c>
      <c r="C76" s="24" t="s">
        <v>206</v>
      </c>
      <c r="D76" s="19" t="str">
        <f aca="false">IF($B76="","",IFERROR(INDEX(Madde_Listesi!$C:$C,MATCH($B76,Madde_Listesi!$B:$B,0)),"Kod yok"))</f>
        <v>Zorunlu eğitimler tamamlanmış</v>
      </c>
      <c r="E76" s="19" t="str">
        <f aca="false">IF($B76="","",IFERROR(INDEX(Madde_Listesi!$D:$D,MATCH($B76,Madde_Listesi!$B:$B,0)),"Kod yok"))</f>
        <v>Ekip</v>
      </c>
      <c r="F76" s="19" t="str">
        <f aca="false">IF($B76="","",IFERROR(INDEX(Madde_Listesi!$E:$E,MATCH($B76,Madde_Listesi!$B:$B,0)),"Kod yok"))</f>
        <v>Major</v>
      </c>
      <c r="G76" s="19" t="str">
        <f aca="false">IF($B76="","",IFERROR(INDEX(Madde_Listesi!$F:$F,MATCH($B76,Madde_Listesi!$B:$B,0)),"Kod yok"))</f>
        <v>Eğitim takibi</v>
      </c>
      <c r="H76" s="19" t="str">
        <f aca="false">IF($A76="","",IFERROR(INDEX(Denetimler!$C:$C,MATCH($A76,Denetimler!$A:$A,0)),"No yok"))</f>
        <v>Mağaza H</v>
      </c>
      <c r="I76" s="19" t="str">
        <f aca="false">IF($A76="","",IFERROR(INDEX(Denetimler!$D:$D,MATCH($A76,Denetimler!$A:$A,0)),"No yok"))</f>
        <v>ASA</v>
      </c>
      <c r="J76" s="19" t="str">
        <f aca="false">IF($A76="","",IFERROR(INDEX(Denetimler!$E:$E,MATCH($A76,Denetimler!$A:$A,0)),"No yok"))</f>
        <v>İç denetim</v>
      </c>
      <c r="K76" s="25" t="n">
        <f aca="false">IF($A76="","",IFERROR(INDEX(Denetimler!$B:$B,MATCH($A76,Denetimler!$A:$A,0)),"No yok"))</f>
        <v>46058</v>
      </c>
    </row>
    <row r="77" customFormat="false" ht="15" hidden="false" customHeight="false" outlineLevel="0" collapsed="false">
      <c r="A77" s="24" t="s">
        <v>125</v>
      </c>
      <c r="B77" s="24" t="s">
        <v>207</v>
      </c>
      <c r="C77" s="24" t="s">
        <v>206</v>
      </c>
      <c r="D77" s="19" t="str">
        <f aca="false">IF($B77="","",IFERROR(INDEX(Madde_Listesi!$C:$C,MATCH($B77,Madde_Listesi!$B:$B,0)),"Kod yok"))</f>
        <v>Vardiya planı yoğunluğa uygun hazırlanmış</v>
      </c>
      <c r="E77" s="19" t="str">
        <f aca="false">IF($B77="","",IFERROR(INDEX(Madde_Listesi!$D:$D,MATCH($B77,Madde_Listesi!$B:$B,0)),"Kod yok"))</f>
        <v>Operasyon</v>
      </c>
      <c r="F77" s="19" t="str">
        <f aca="false">IF($B77="","",IFERROR(INDEX(Madde_Listesi!$E:$E,MATCH($B77,Madde_Listesi!$B:$B,0)),"Kod yok"))</f>
        <v>Major</v>
      </c>
      <c r="G77" s="19" t="str">
        <f aca="false">IF($B77="","",IFERROR(INDEX(Madde_Listesi!$F:$F,MATCH($B77,Madde_Listesi!$B:$B,0)),"Kod yok"))</f>
        <v>Vardiya planlama</v>
      </c>
      <c r="H77" s="19" t="str">
        <f aca="false">IF($A77="","",IFERROR(INDEX(Denetimler!$C:$C,MATCH($A77,Denetimler!$A:$A,0)),"No yok"))</f>
        <v>Mağaza H</v>
      </c>
      <c r="I77" s="19" t="str">
        <f aca="false">IF($A77="","",IFERROR(INDEX(Denetimler!$D:$D,MATCH($A77,Denetimler!$A:$A,0)),"No yok"))</f>
        <v>ASA</v>
      </c>
      <c r="J77" s="19" t="str">
        <f aca="false">IF($A77="","",IFERROR(INDEX(Denetimler!$E:$E,MATCH($A77,Denetimler!$A:$A,0)),"No yok"))</f>
        <v>İç denetim</v>
      </c>
      <c r="K77" s="25" t="n">
        <f aca="false">IF($A77="","",IFERROR(INDEX(Denetimler!$B:$B,MATCH($A77,Denetimler!$A:$A,0)),"No yok"))</f>
        <v>46058</v>
      </c>
    </row>
    <row r="78" customFormat="false" ht="15" hidden="false" customHeight="false" outlineLevel="0" collapsed="false">
      <c r="A78" s="24" t="s">
        <v>125</v>
      </c>
      <c r="B78" s="24" t="s">
        <v>205</v>
      </c>
      <c r="C78" s="24" t="s">
        <v>206</v>
      </c>
      <c r="D78" s="19" t="str">
        <f aca="false">IF($B78="","",IFERROR(INDEX(Madde_Listesi!$C:$C,MATCH($B78,Madde_Listesi!$B:$B,0)),"Kod yok"))</f>
        <v>Stok sayımı ve sipariş kayıtları tutarlı</v>
      </c>
      <c r="E78" s="19" t="str">
        <f aca="false">IF($B78="","",IFERROR(INDEX(Madde_Listesi!$D:$D,MATCH($B78,Madde_Listesi!$B:$B,0)),"Kod yok"))</f>
        <v>Stok</v>
      </c>
      <c r="F78" s="19" t="str">
        <f aca="false">IF($B78="","",IFERROR(INDEX(Madde_Listesi!$E:$E,MATCH($B78,Madde_Listesi!$B:$B,0)),"Kod yok"))</f>
        <v>Major</v>
      </c>
      <c r="G78" s="19" t="str">
        <f aca="false">IF($B78="","",IFERROR(INDEX(Madde_Listesi!$F:$F,MATCH($B78,Madde_Listesi!$B:$B,0)),"Kod yok"))</f>
        <v>Stok ve sipariş yönetimi</v>
      </c>
      <c r="H78" s="19" t="str">
        <f aca="false">IF($A78="","",IFERROR(INDEX(Denetimler!$C:$C,MATCH($A78,Denetimler!$A:$A,0)),"No yok"))</f>
        <v>Mağaza H</v>
      </c>
      <c r="I78" s="19" t="str">
        <f aca="false">IF($A78="","",IFERROR(INDEX(Denetimler!$D:$D,MATCH($A78,Denetimler!$A:$A,0)),"No yok"))</f>
        <v>ASA</v>
      </c>
      <c r="J78" s="19" t="str">
        <f aca="false">IF($A78="","",IFERROR(INDEX(Denetimler!$E:$E,MATCH($A78,Denetimler!$A:$A,0)),"No yok"))</f>
        <v>İç denetim</v>
      </c>
      <c r="K78" s="25" t="n">
        <f aca="false">IF($A78="","",IFERROR(INDEX(Denetimler!$B:$B,MATCH($A78,Denetimler!$A:$A,0)),"No yok"))</f>
        <v>46058</v>
      </c>
    </row>
    <row r="79" customFormat="false" ht="15" hidden="false" customHeight="false" outlineLevel="0" collapsed="false">
      <c r="A79" s="24" t="s">
        <v>125</v>
      </c>
      <c r="B79" s="24" t="s">
        <v>205</v>
      </c>
      <c r="C79" s="24" t="s">
        <v>206</v>
      </c>
      <c r="D79" s="19" t="str">
        <f aca="false">IF($B79="","",IFERROR(INDEX(Madde_Listesi!$C:$C,MATCH($B79,Madde_Listesi!$B:$B,0)),"Kod yok"))</f>
        <v>Stok sayımı ve sipariş kayıtları tutarlı</v>
      </c>
      <c r="E79" s="19" t="str">
        <f aca="false">IF($B79="","",IFERROR(INDEX(Madde_Listesi!$D:$D,MATCH($B79,Madde_Listesi!$B:$B,0)),"Kod yok"))</f>
        <v>Stok</v>
      </c>
      <c r="F79" s="19" t="str">
        <f aca="false">IF($B79="","",IFERROR(INDEX(Madde_Listesi!$E:$E,MATCH($B79,Madde_Listesi!$B:$B,0)),"Kod yok"))</f>
        <v>Major</v>
      </c>
      <c r="G79" s="19" t="str">
        <f aca="false">IF($B79="","",IFERROR(INDEX(Madde_Listesi!$F:$F,MATCH($B79,Madde_Listesi!$B:$B,0)),"Kod yok"))</f>
        <v>Stok ve sipariş yönetimi</v>
      </c>
      <c r="H79" s="19" t="str">
        <f aca="false">IF($A79="","",IFERROR(INDEX(Denetimler!$C:$C,MATCH($A79,Denetimler!$A:$A,0)),"No yok"))</f>
        <v>Mağaza H</v>
      </c>
      <c r="I79" s="19" t="str">
        <f aca="false">IF($A79="","",IFERROR(INDEX(Denetimler!$D:$D,MATCH($A79,Denetimler!$A:$A,0)),"No yok"))</f>
        <v>ASA</v>
      </c>
      <c r="J79" s="19" t="str">
        <f aca="false">IF($A79="","",IFERROR(INDEX(Denetimler!$E:$E,MATCH($A79,Denetimler!$A:$A,0)),"No yok"))</f>
        <v>İç denetim</v>
      </c>
      <c r="K79" s="25" t="n">
        <f aca="false">IF($A79="","",IFERROR(INDEX(Denetimler!$B:$B,MATCH($A79,Denetimler!$A:$A,0)),"No yok"))</f>
        <v>46058</v>
      </c>
    </row>
    <row r="80" customFormat="false" ht="15" hidden="false" customHeight="false" outlineLevel="0" collapsed="false">
      <c r="A80" s="24" t="s">
        <v>137</v>
      </c>
      <c r="B80" s="24" t="s">
        <v>226</v>
      </c>
      <c r="C80" s="24" t="s">
        <v>206</v>
      </c>
      <c r="D80" s="19" t="str">
        <f aca="false">IF($B80="","",IFERROR(INDEX(Madde_Listesi!$C:$C,MATCH($B80,Madde_Listesi!$B:$B,0)),"Kod yok"))</f>
        <v>Kasa farkları kayıt altına alınmış ve açıklanmış</v>
      </c>
      <c r="E80" s="19" t="str">
        <f aca="false">IF($B80="","",IFERROR(INDEX(Madde_Listesi!$D:$D,MATCH($B80,Madde_Listesi!$B:$B,0)),"Kod yok"))</f>
        <v>Nakit</v>
      </c>
      <c r="F80" s="19" t="str">
        <f aca="false">IF($B80="","",IFERROR(INDEX(Madde_Listesi!$E:$E,MATCH($B80,Madde_Listesi!$B:$B,0)),"Kod yok"))</f>
        <v>Kritik</v>
      </c>
      <c r="G80" s="19" t="str">
        <f aca="false">IF($B80="","",IFERROR(INDEX(Madde_Listesi!$F:$F,MATCH($B80,Madde_Listesi!$B:$B,0)),"Kod yok"))</f>
        <v>Kasa prosedürleri</v>
      </c>
      <c r="H80" s="19" t="str">
        <f aca="false">IF($A80="","",IFERROR(INDEX(Denetimler!$C:$C,MATCH($A80,Denetimler!$A:$A,0)),"No yok"))</f>
        <v>Mağaza H</v>
      </c>
      <c r="I80" s="19" t="str">
        <f aca="false">IF($A80="","",IFERROR(INDEX(Denetimler!$D:$D,MATCH($A80,Denetimler!$A:$A,0)),"No yok"))</f>
        <v>PAP</v>
      </c>
      <c r="J80" s="19" t="str">
        <f aca="false">IF($A80="","",IFERROR(INDEX(Denetimler!$E:$E,MATCH($A80,Denetimler!$A:$A,0)),"No yok"))</f>
        <v>İç denetim</v>
      </c>
      <c r="K80" s="25" t="n">
        <f aca="false">IF($A80="","",IFERROR(INDEX(Denetimler!$B:$B,MATCH($A80,Denetimler!$A:$A,0)),"No yok"))</f>
        <v>46081</v>
      </c>
    </row>
    <row r="81" customFormat="false" ht="15" hidden="false" customHeight="false" outlineLevel="0" collapsed="false">
      <c r="A81" s="24" t="s">
        <v>137</v>
      </c>
      <c r="B81" s="24" t="s">
        <v>218</v>
      </c>
      <c r="C81" s="24" t="s">
        <v>206</v>
      </c>
      <c r="D81" s="19" t="str">
        <f aca="false">IF($B81="","",IFERROR(INDEX(Madde_Listesi!$C:$C,MATCH($B81,Madde_Listesi!$B:$B,0)),"Kod yok"))</f>
        <v>Depo ve kasa anahtarları yetkili kişide</v>
      </c>
      <c r="E81" s="19" t="str">
        <f aca="false">IF($B81="","",IFERROR(INDEX(Madde_Listesi!$D:$D,MATCH($B81,Madde_Listesi!$B:$B,0)),"Kod yok"))</f>
        <v>Güvenlik</v>
      </c>
      <c r="F81" s="19" t="str">
        <f aca="false">IF($B81="","",IFERROR(INDEX(Madde_Listesi!$E:$E,MATCH($B81,Madde_Listesi!$B:$B,0)),"Kod yok"))</f>
        <v>Major</v>
      </c>
      <c r="G81" s="19" t="str">
        <f aca="false">IF($B81="","",IFERROR(INDEX(Madde_Listesi!$F:$F,MATCH($B81,Madde_Listesi!$B:$B,0)),"Kod yok"))</f>
        <v>Mağaza güvenliği</v>
      </c>
      <c r="H81" s="19" t="str">
        <f aca="false">IF($A81="","",IFERROR(INDEX(Denetimler!$C:$C,MATCH($A81,Denetimler!$A:$A,0)),"No yok"))</f>
        <v>Mağaza H</v>
      </c>
      <c r="I81" s="19" t="str">
        <f aca="false">IF($A81="","",IFERROR(INDEX(Denetimler!$D:$D,MATCH($A81,Denetimler!$A:$A,0)),"No yok"))</f>
        <v>PAP</v>
      </c>
      <c r="J81" s="19" t="str">
        <f aca="false">IF($A81="","",IFERROR(INDEX(Denetimler!$E:$E,MATCH($A81,Denetimler!$A:$A,0)),"No yok"))</f>
        <v>İç denetim</v>
      </c>
      <c r="K81" s="25" t="n">
        <f aca="false">IF($A81="","",IFERROR(INDEX(Denetimler!$B:$B,MATCH($A81,Denetimler!$A:$A,0)),"No yok"))</f>
        <v>46081</v>
      </c>
    </row>
    <row r="82" customFormat="false" ht="15" hidden="false" customHeight="false" outlineLevel="0" collapsed="false">
      <c r="A82" s="24" t="s">
        <v>137</v>
      </c>
      <c r="B82" s="24" t="s">
        <v>217</v>
      </c>
      <c r="C82" s="24" t="s">
        <v>206</v>
      </c>
      <c r="D82" s="19" t="str">
        <f aca="false">IF($B82="","",IFERROR(INDEX(Madde_Listesi!$C:$C,MATCH($B82,Madde_Listesi!$B:$B,0)),"Kod yok"))</f>
        <v>Kamera kayıtları erişilebilir ve süresi uygun</v>
      </c>
      <c r="E82" s="19" t="str">
        <f aca="false">IF($B82="","",IFERROR(INDEX(Madde_Listesi!$D:$D,MATCH($B82,Madde_Listesi!$B:$B,0)),"Kod yok"))</f>
        <v>Güvenlik</v>
      </c>
      <c r="F82" s="19" t="str">
        <f aca="false">IF($B82="","",IFERROR(INDEX(Madde_Listesi!$E:$E,MATCH($B82,Madde_Listesi!$B:$B,0)),"Kod yok"))</f>
        <v>Minör</v>
      </c>
      <c r="G82" s="19" t="str">
        <f aca="false">IF($B82="","",IFERROR(INDEX(Madde_Listesi!$F:$F,MATCH($B82,Madde_Listesi!$B:$B,0)),"Kod yok"))</f>
        <v>Mağaza güvenliği</v>
      </c>
      <c r="H82" s="19" t="str">
        <f aca="false">IF($A82="","",IFERROR(INDEX(Denetimler!$C:$C,MATCH($A82,Denetimler!$A:$A,0)),"No yok"))</f>
        <v>Mağaza H</v>
      </c>
      <c r="I82" s="19" t="str">
        <f aca="false">IF($A82="","",IFERROR(INDEX(Denetimler!$D:$D,MATCH($A82,Denetimler!$A:$A,0)),"No yok"))</f>
        <v>PAP</v>
      </c>
      <c r="J82" s="19" t="str">
        <f aca="false">IF($A82="","",IFERROR(INDEX(Denetimler!$E:$E,MATCH($A82,Denetimler!$A:$A,0)),"No yok"))</f>
        <v>İç denetim</v>
      </c>
      <c r="K82" s="25" t="n">
        <f aca="false">IF($A82="","",IFERROR(INDEX(Denetimler!$B:$B,MATCH($A82,Denetimler!$A:$A,0)),"No yok"))</f>
        <v>46081</v>
      </c>
    </row>
    <row r="83" customFormat="false" ht="15" hidden="false" customHeight="false" outlineLevel="0" collapsed="false">
      <c r="A83" s="24" t="s">
        <v>137</v>
      </c>
      <c r="B83" s="24" t="s">
        <v>226</v>
      </c>
      <c r="C83" s="24" t="s">
        <v>206</v>
      </c>
      <c r="D83" s="19" t="str">
        <f aca="false">IF($B83="","",IFERROR(INDEX(Madde_Listesi!$C:$C,MATCH($B83,Madde_Listesi!$B:$B,0)),"Kod yok"))</f>
        <v>Kasa farkları kayıt altına alınmış ve açıklanmış</v>
      </c>
      <c r="E83" s="19" t="str">
        <f aca="false">IF($B83="","",IFERROR(INDEX(Madde_Listesi!$D:$D,MATCH($B83,Madde_Listesi!$B:$B,0)),"Kod yok"))</f>
        <v>Nakit</v>
      </c>
      <c r="F83" s="19" t="str">
        <f aca="false">IF($B83="","",IFERROR(INDEX(Madde_Listesi!$E:$E,MATCH($B83,Madde_Listesi!$B:$B,0)),"Kod yok"))</f>
        <v>Kritik</v>
      </c>
      <c r="G83" s="19" t="str">
        <f aca="false">IF($B83="","",IFERROR(INDEX(Madde_Listesi!$F:$F,MATCH($B83,Madde_Listesi!$B:$B,0)),"Kod yok"))</f>
        <v>Kasa prosedürleri</v>
      </c>
      <c r="H83" s="19" t="str">
        <f aca="false">IF($A83="","",IFERROR(INDEX(Denetimler!$C:$C,MATCH($A83,Denetimler!$A:$A,0)),"No yok"))</f>
        <v>Mağaza H</v>
      </c>
      <c r="I83" s="19" t="str">
        <f aca="false">IF($A83="","",IFERROR(INDEX(Denetimler!$D:$D,MATCH($A83,Denetimler!$A:$A,0)),"No yok"))</f>
        <v>PAP</v>
      </c>
      <c r="J83" s="19" t="str">
        <f aca="false">IF($A83="","",IFERROR(INDEX(Denetimler!$E:$E,MATCH($A83,Denetimler!$A:$A,0)),"No yok"))</f>
        <v>İç denetim</v>
      </c>
      <c r="K83" s="25" t="n">
        <f aca="false">IF($A83="","",IFERROR(INDEX(Denetimler!$B:$B,MATCH($A83,Denetimler!$A:$A,0)),"No yok"))</f>
        <v>46081</v>
      </c>
    </row>
    <row r="84" customFormat="false" ht="15" hidden="false" customHeight="false" outlineLevel="0" collapsed="false">
      <c r="A84" s="24" t="s">
        <v>137</v>
      </c>
      <c r="B84" s="24" t="s">
        <v>226</v>
      </c>
      <c r="C84" s="24" t="s">
        <v>206</v>
      </c>
      <c r="D84" s="19" t="str">
        <f aca="false">IF($B84="","",IFERROR(INDEX(Madde_Listesi!$C:$C,MATCH($B84,Madde_Listesi!$B:$B,0)),"Kod yok"))</f>
        <v>Kasa farkları kayıt altına alınmış ve açıklanmış</v>
      </c>
      <c r="E84" s="19" t="str">
        <f aca="false">IF($B84="","",IFERROR(INDEX(Madde_Listesi!$D:$D,MATCH($B84,Madde_Listesi!$B:$B,0)),"Kod yok"))</f>
        <v>Nakit</v>
      </c>
      <c r="F84" s="19" t="str">
        <f aca="false">IF($B84="","",IFERROR(INDEX(Madde_Listesi!$E:$E,MATCH($B84,Madde_Listesi!$B:$B,0)),"Kod yok"))</f>
        <v>Kritik</v>
      </c>
      <c r="G84" s="19" t="str">
        <f aca="false">IF($B84="","",IFERROR(INDEX(Madde_Listesi!$F:$F,MATCH($B84,Madde_Listesi!$B:$B,0)),"Kod yok"))</f>
        <v>Kasa prosedürleri</v>
      </c>
      <c r="H84" s="19" t="str">
        <f aca="false">IF($A84="","",IFERROR(INDEX(Denetimler!$C:$C,MATCH($A84,Denetimler!$A:$A,0)),"No yok"))</f>
        <v>Mağaza H</v>
      </c>
      <c r="I84" s="19" t="str">
        <f aca="false">IF($A84="","",IFERROR(INDEX(Denetimler!$D:$D,MATCH($A84,Denetimler!$A:$A,0)),"No yok"))</f>
        <v>PAP</v>
      </c>
      <c r="J84" s="19" t="str">
        <f aca="false">IF($A84="","",IFERROR(INDEX(Denetimler!$E:$E,MATCH($A84,Denetimler!$A:$A,0)),"No yok"))</f>
        <v>İç denetim</v>
      </c>
      <c r="K84" s="25" t="n">
        <f aca="false">IF($A84="","",IFERROR(INDEX(Denetimler!$B:$B,MATCH($A84,Denetimler!$A:$A,0)),"No yok"))</f>
        <v>46081</v>
      </c>
    </row>
    <row r="85" customFormat="false" ht="15" hidden="false" customHeight="false" outlineLevel="0" collapsed="false">
      <c r="A85" s="24" t="s">
        <v>130</v>
      </c>
      <c r="B85" s="24" t="s">
        <v>214</v>
      </c>
      <c r="C85" s="24" t="s">
        <v>206</v>
      </c>
      <c r="D85" s="19" t="str">
        <f aca="false">IF($B85="","",IFERROR(INDEX(Madde_Listesi!$C:$C,MATCH($B85,Madde_Listesi!$B:$B,0)),"Kod yok"))</f>
        <v>Sıcaklık kayıtları tam ve zamanında tutulmuş</v>
      </c>
      <c r="E85" s="19" t="str">
        <f aca="false">IF($B85="","",IFERROR(INDEX(Madde_Listesi!$D:$D,MATCH($B85,Madde_Listesi!$B:$B,0)),"Kod yok"))</f>
        <v>Sıcaklık</v>
      </c>
      <c r="F85" s="19" t="str">
        <f aca="false">IF($B85="","",IFERROR(INDEX(Madde_Listesi!$E:$E,MATCH($B85,Madde_Listesi!$B:$B,0)),"Kod yok"))</f>
        <v>Major</v>
      </c>
      <c r="G85" s="19" t="str">
        <f aca="false">IF($B85="","",IFERROR(INDEX(Madde_Listesi!$F:$F,MATCH($B85,Madde_Listesi!$B:$B,0)),"Kod yok"))</f>
        <v>Soğuk zincir ve sıcaklık kontrolü</v>
      </c>
      <c r="H85" s="19" t="str">
        <f aca="false">IF($A85="","",IFERROR(INDEX(Denetimler!$C:$C,MATCH($A85,Denetimler!$A:$A,0)),"No yok"))</f>
        <v>Mağaza H</v>
      </c>
      <c r="I85" s="19" t="str">
        <f aca="false">IF($A85="","",IFERROR(INDEX(Denetimler!$D:$D,MATCH($A85,Denetimler!$A:$A,0)),"No yok"))</f>
        <v>RSA</v>
      </c>
      <c r="J85" s="19" t="str">
        <f aca="false">IF($A85="","",IFERROR(INDEX(Denetimler!$E:$E,MATCH($A85,Denetimler!$A:$A,0)),"No yok"))</f>
        <v>İç denetim</v>
      </c>
      <c r="K85" s="25" t="n">
        <f aca="false">IF($A85="","",IFERROR(INDEX(Denetimler!$B:$B,MATCH($A85,Denetimler!$A:$A,0)),"No yok"))</f>
        <v>46066</v>
      </c>
    </row>
    <row r="86" customFormat="false" ht="15" hidden="false" customHeight="false" outlineLevel="0" collapsed="false">
      <c r="A86" s="24" t="s">
        <v>130</v>
      </c>
      <c r="B86" s="24" t="s">
        <v>210</v>
      </c>
      <c r="C86" s="24" t="s">
        <v>206</v>
      </c>
      <c r="D86" s="19" t="str">
        <f aca="false">IF($B86="","",IFERROR(INDEX(Madde_Listesi!$C:$C,MATCH($B86,Madde_Listesi!$B:$B,0)),"Kod yok"))</f>
        <v>Kimyasallar etiketli ve gıdadan ayrı saklanıyor</v>
      </c>
      <c r="E86" s="19" t="str">
        <f aca="false">IF($B86="","",IFERROR(INDEX(Madde_Listesi!$D:$D,MATCH($B86,Madde_Listesi!$B:$B,0)),"Kod yok"))</f>
        <v>Bulaşma</v>
      </c>
      <c r="F86" s="19" t="str">
        <f aca="false">IF($B86="","",IFERROR(INDEX(Madde_Listesi!$E:$E,MATCH($B86,Madde_Listesi!$B:$B,0)),"Kod yok"))</f>
        <v>Major</v>
      </c>
      <c r="G86" s="19" t="str">
        <f aca="false">IF($B86="","",IFERROR(INDEX(Madde_Listesi!$F:$F,MATCH($B86,Madde_Listesi!$B:$B,0)),"Kod yok"))</f>
        <v>Kimyasal güvenliği</v>
      </c>
      <c r="H86" s="19" t="str">
        <f aca="false">IF($A86="","",IFERROR(INDEX(Denetimler!$C:$C,MATCH($A86,Denetimler!$A:$A,0)),"No yok"))</f>
        <v>Mağaza H</v>
      </c>
      <c r="I86" s="19" t="str">
        <f aca="false">IF($A86="","",IFERROR(INDEX(Denetimler!$D:$D,MATCH($A86,Denetimler!$A:$A,0)),"No yok"))</f>
        <v>RSA</v>
      </c>
      <c r="J86" s="19" t="str">
        <f aca="false">IF($A86="","",IFERROR(INDEX(Denetimler!$E:$E,MATCH($A86,Denetimler!$A:$A,0)),"No yok"))</f>
        <v>İç denetim</v>
      </c>
      <c r="K86" s="25" t="n">
        <f aca="false">IF($A86="","",IFERROR(INDEX(Denetimler!$B:$B,MATCH($A86,Denetimler!$A:$A,0)),"No yok"))</f>
        <v>46066</v>
      </c>
    </row>
    <row r="87" customFormat="false" ht="15" hidden="false" customHeight="false" outlineLevel="0" collapsed="false">
      <c r="A87" s="24" t="s">
        <v>130</v>
      </c>
      <c r="B87" s="24" t="s">
        <v>210</v>
      </c>
      <c r="C87" s="24" t="s">
        <v>206</v>
      </c>
      <c r="D87" s="19" t="str">
        <f aca="false">IF($B87="","",IFERROR(INDEX(Madde_Listesi!$C:$C,MATCH($B87,Madde_Listesi!$B:$B,0)),"Kod yok"))</f>
        <v>Kimyasallar etiketli ve gıdadan ayrı saklanıyor</v>
      </c>
      <c r="E87" s="19" t="str">
        <f aca="false">IF($B87="","",IFERROR(INDEX(Madde_Listesi!$D:$D,MATCH($B87,Madde_Listesi!$B:$B,0)),"Kod yok"))</f>
        <v>Bulaşma</v>
      </c>
      <c r="F87" s="19" t="str">
        <f aca="false">IF($B87="","",IFERROR(INDEX(Madde_Listesi!$E:$E,MATCH($B87,Madde_Listesi!$B:$B,0)),"Kod yok"))</f>
        <v>Major</v>
      </c>
      <c r="G87" s="19" t="str">
        <f aca="false">IF($B87="","",IFERROR(INDEX(Madde_Listesi!$F:$F,MATCH($B87,Madde_Listesi!$B:$B,0)),"Kod yok"))</f>
        <v>Kimyasal güvenliği</v>
      </c>
      <c r="H87" s="19" t="str">
        <f aca="false">IF($A87="","",IFERROR(INDEX(Denetimler!$C:$C,MATCH($A87,Denetimler!$A:$A,0)),"No yok"))</f>
        <v>Mağaza H</v>
      </c>
      <c r="I87" s="19" t="str">
        <f aca="false">IF($A87="","",IFERROR(INDEX(Denetimler!$D:$D,MATCH($A87,Denetimler!$A:$A,0)),"No yok"))</f>
        <v>RSA</v>
      </c>
      <c r="J87" s="19" t="str">
        <f aca="false">IF($A87="","",IFERROR(INDEX(Denetimler!$E:$E,MATCH($A87,Denetimler!$A:$A,0)),"No yok"))</f>
        <v>İç denetim</v>
      </c>
      <c r="K87" s="25" t="n">
        <f aca="false">IF($A87="","",IFERROR(INDEX(Denetimler!$B:$B,MATCH($A87,Denetimler!$A:$A,0)),"No yok"))</f>
        <v>46066</v>
      </c>
    </row>
    <row r="88" customFormat="false" ht="15" hidden="false" customHeight="false" outlineLevel="0" collapsed="false">
      <c r="A88" s="24" t="s">
        <v>130</v>
      </c>
      <c r="B88" s="24" t="s">
        <v>212</v>
      </c>
      <c r="C88" s="24" t="s">
        <v>206</v>
      </c>
      <c r="D88" s="19" t="str">
        <f aca="false">IF($B88="","",IFERROR(INDEX(Madde_Listesi!$C:$C,MATCH($B88,Madde_Listesi!$B:$B,0)),"Kod yok"))</f>
        <v>Gıdayla temas eden yüzeyler temiz ve dezenfekte</v>
      </c>
      <c r="E88" s="19" t="str">
        <f aca="false">IF($B88="","",IFERROR(INDEX(Madde_Listesi!$D:$D,MATCH($B88,Madde_Listesi!$B:$B,0)),"Kod yok"))</f>
        <v>Bulaşma</v>
      </c>
      <c r="F88" s="19" t="str">
        <f aca="false">IF($B88="","",IFERROR(INDEX(Madde_Listesi!$E:$E,MATCH($B88,Madde_Listesi!$B:$B,0)),"Kod yok"))</f>
        <v>Major</v>
      </c>
      <c r="G88" s="19" t="str">
        <f aca="false">IF($B88="","",IFERROR(INDEX(Madde_Listesi!$F:$F,MATCH($B88,Madde_Listesi!$B:$B,0)),"Kod yok"))</f>
        <v>Temizlik ve dezenfeksiyon</v>
      </c>
      <c r="H88" s="19" t="str">
        <f aca="false">IF($A88="","",IFERROR(INDEX(Denetimler!$C:$C,MATCH($A88,Denetimler!$A:$A,0)),"No yok"))</f>
        <v>Mağaza H</v>
      </c>
      <c r="I88" s="19" t="str">
        <f aca="false">IF($A88="","",IFERROR(INDEX(Denetimler!$D:$D,MATCH($A88,Denetimler!$A:$A,0)),"No yok"))</f>
        <v>RSA</v>
      </c>
      <c r="J88" s="19" t="str">
        <f aca="false">IF($A88="","",IFERROR(INDEX(Denetimler!$E:$E,MATCH($A88,Denetimler!$A:$A,0)),"No yok"))</f>
        <v>İç denetim</v>
      </c>
      <c r="K88" s="25" t="n">
        <f aca="false">IF($A88="","",IFERROR(INDEX(Denetimler!$B:$B,MATCH($A88,Denetimler!$A:$A,0)),"No yok"))</f>
        <v>46066</v>
      </c>
    </row>
    <row r="89" customFormat="false" ht="15" hidden="false" customHeight="false" outlineLevel="0" collapsed="false">
      <c r="A89" s="24" t="s">
        <v>130</v>
      </c>
      <c r="B89" s="24" t="s">
        <v>223</v>
      </c>
      <c r="C89" s="24" t="s">
        <v>206</v>
      </c>
      <c r="D89" s="19" t="str">
        <f aca="false">IF($B89="","",IFERROR(INDEX(Madde_Listesi!$C:$C,MATCH($B89,Madde_Listesi!$B:$B,0)),"Kod yok"))</f>
        <v>Ürünlerin son kullanma tarihleri geçerli ve etiketli</v>
      </c>
      <c r="E89" s="19" t="str">
        <f aca="false">IF($B89="","",IFERROR(INDEX(Madde_Listesi!$D:$D,MATCH($B89,Madde_Listesi!$B:$B,0)),"Kod yok"))</f>
        <v>Bulaşma</v>
      </c>
      <c r="F89" s="19" t="str">
        <f aca="false">IF($B89="","",IFERROR(INDEX(Madde_Listesi!$E:$E,MATCH($B89,Madde_Listesi!$B:$B,0)),"Kod yok"))</f>
        <v>Kritik</v>
      </c>
      <c r="G89" s="19" t="str">
        <f aca="false">IF($B89="","",IFERROR(INDEX(Madde_Listesi!$F:$F,MATCH($B89,Madde_Listesi!$B:$B,0)),"Kod yok"))</f>
        <v>Ürün tarihleme ve etiketleme</v>
      </c>
      <c r="H89" s="19" t="str">
        <f aca="false">IF($A89="","",IFERROR(INDEX(Denetimler!$C:$C,MATCH($A89,Denetimler!$A:$A,0)),"No yok"))</f>
        <v>Mağaza H</v>
      </c>
      <c r="I89" s="19" t="str">
        <f aca="false">IF($A89="","",IFERROR(INDEX(Denetimler!$D:$D,MATCH($A89,Denetimler!$A:$A,0)),"No yok"))</f>
        <v>RSA</v>
      </c>
      <c r="J89" s="19" t="str">
        <f aca="false">IF($A89="","",IFERROR(INDEX(Denetimler!$E:$E,MATCH($A89,Denetimler!$A:$A,0)),"No yok"))</f>
        <v>İç denetim</v>
      </c>
      <c r="K89" s="25" t="n">
        <f aca="false">IF($A89="","",IFERROR(INDEX(Denetimler!$B:$B,MATCH($A89,Denetimler!$A:$A,0)),"No yok"))</f>
        <v>46066</v>
      </c>
    </row>
    <row r="90" customFormat="false" ht="15" hidden="false" customHeight="false" outlineLevel="0" collapsed="false">
      <c r="A90" s="24" t="s">
        <v>130</v>
      </c>
      <c r="B90" s="24" t="s">
        <v>214</v>
      </c>
      <c r="C90" s="24" t="s">
        <v>206</v>
      </c>
      <c r="D90" s="19" t="str">
        <f aca="false">IF($B90="","",IFERROR(INDEX(Madde_Listesi!$C:$C,MATCH($B90,Madde_Listesi!$B:$B,0)),"Kod yok"))</f>
        <v>Sıcaklık kayıtları tam ve zamanında tutulmuş</v>
      </c>
      <c r="E90" s="19" t="str">
        <f aca="false">IF($B90="","",IFERROR(INDEX(Madde_Listesi!$D:$D,MATCH($B90,Madde_Listesi!$B:$B,0)),"Kod yok"))</f>
        <v>Sıcaklık</v>
      </c>
      <c r="F90" s="19" t="str">
        <f aca="false">IF($B90="","",IFERROR(INDEX(Madde_Listesi!$E:$E,MATCH($B90,Madde_Listesi!$B:$B,0)),"Kod yok"))</f>
        <v>Major</v>
      </c>
      <c r="G90" s="19" t="str">
        <f aca="false">IF($B90="","",IFERROR(INDEX(Madde_Listesi!$F:$F,MATCH($B90,Madde_Listesi!$B:$B,0)),"Kod yok"))</f>
        <v>Soğuk zincir ve sıcaklık kontrolü</v>
      </c>
      <c r="H90" s="19" t="str">
        <f aca="false">IF($A90="","",IFERROR(INDEX(Denetimler!$C:$C,MATCH($A90,Denetimler!$A:$A,0)),"No yok"))</f>
        <v>Mağaza H</v>
      </c>
      <c r="I90" s="19" t="str">
        <f aca="false">IF($A90="","",IFERROR(INDEX(Denetimler!$D:$D,MATCH($A90,Denetimler!$A:$A,0)),"No yok"))</f>
        <v>RSA</v>
      </c>
      <c r="J90" s="19" t="str">
        <f aca="false">IF($A90="","",IFERROR(INDEX(Denetimler!$E:$E,MATCH($A90,Denetimler!$A:$A,0)),"No yok"))</f>
        <v>İç denetim</v>
      </c>
      <c r="K90" s="25" t="n">
        <f aca="false">IF($A90="","",IFERROR(INDEX(Denetimler!$B:$B,MATCH($A90,Denetimler!$A:$A,0)),"No yok"))</f>
        <v>46066</v>
      </c>
    </row>
    <row r="91" customFormat="false" ht="15" hidden="false" customHeight="false" outlineLevel="0" collapsed="false">
      <c r="A91" s="24" t="s">
        <v>155</v>
      </c>
      <c r="B91" s="24" t="s">
        <v>205</v>
      </c>
      <c r="C91" s="24" t="s">
        <v>206</v>
      </c>
      <c r="D91" s="19" t="str">
        <f aca="false">IF($B91="","",IFERROR(INDEX(Madde_Listesi!$C:$C,MATCH($B91,Madde_Listesi!$B:$B,0)),"Kod yok"))</f>
        <v>Stok sayımı ve sipariş kayıtları tutarlı</v>
      </c>
      <c r="E91" s="19" t="str">
        <f aca="false">IF($B91="","",IFERROR(INDEX(Madde_Listesi!$D:$D,MATCH($B91,Madde_Listesi!$B:$B,0)),"Kod yok"))</f>
        <v>Stok</v>
      </c>
      <c r="F91" s="19" t="str">
        <f aca="false">IF($B91="","",IFERROR(INDEX(Madde_Listesi!$E:$E,MATCH($B91,Madde_Listesi!$B:$B,0)),"Kod yok"))</f>
        <v>Major</v>
      </c>
      <c r="G91" s="19" t="str">
        <f aca="false">IF($B91="","",IFERROR(INDEX(Madde_Listesi!$F:$F,MATCH($B91,Madde_Listesi!$B:$B,0)),"Kod yok"))</f>
        <v>Stok ve sipariş yönetimi</v>
      </c>
      <c r="H91" s="19" t="str">
        <f aca="false">IF($A91="","",IFERROR(INDEX(Denetimler!$C:$C,MATCH($A91,Denetimler!$A:$A,0)),"No yok"))</f>
        <v>Mağaza A</v>
      </c>
      <c r="I91" s="19" t="str">
        <f aca="false">IF($A91="","",IFERROR(INDEX(Denetimler!$D:$D,MATCH($A91,Denetimler!$A:$A,0)),"No yok"))</f>
        <v>ASA</v>
      </c>
      <c r="J91" s="19" t="str">
        <f aca="false">IF($A91="","",IFERROR(INDEX(Denetimler!$E:$E,MATCH($A91,Denetimler!$A:$A,0)),"No yok"))</f>
        <v>İç denetim</v>
      </c>
      <c r="K91" s="25" t="n">
        <f aca="false">IF($A91="","",IFERROR(INDEX(Denetimler!$B:$B,MATCH($A91,Denetimler!$A:$A,0)),"No yok"))</f>
        <v>46138</v>
      </c>
    </row>
    <row r="92" customFormat="false" ht="15" hidden="false" customHeight="false" outlineLevel="0" collapsed="false">
      <c r="A92" s="24" t="s">
        <v>155</v>
      </c>
      <c r="B92" s="24" t="s">
        <v>220</v>
      </c>
      <c r="C92" s="24" t="s">
        <v>206</v>
      </c>
      <c r="D92" s="19" t="str">
        <f aca="false">IF($B92="","",IFERROR(INDEX(Madde_Listesi!$C:$C,MATCH($B92,Madde_Listesi!$B:$B,0)),"Kod yok"))</f>
        <v>Zorunlu eğitimler tamamlanmış</v>
      </c>
      <c r="E92" s="19" t="str">
        <f aca="false">IF($B92="","",IFERROR(INDEX(Madde_Listesi!$D:$D,MATCH($B92,Madde_Listesi!$B:$B,0)),"Kod yok"))</f>
        <v>Ekip</v>
      </c>
      <c r="F92" s="19" t="str">
        <f aca="false">IF($B92="","",IFERROR(INDEX(Madde_Listesi!$E:$E,MATCH($B92,Madde_Listesi!$B:$B,0)),"Kod yok"))</f>
        <v>Major</v>
      </c>
      <c r="G92" s="19" t="str">
        <f aca="false">IF($B92="","",IFERROR(INDEX(Madde_Listesi!$F:$F,MATCH($B92,Madde_Listesi!$B:$B,0)),"Kod yok"))</f>
        <v>Eğitim takibi</v>
      </c>
      <c r="H92" s="19" t="str">
        <f aca="false">IF($A92="","",IFERROR(INDEX(Denetimler!$C:$C,MATCH($A92,Denetimler!$A:$A,0)),"No yok"))</f>
        <v>Mağaza A</v>
      </c>
      <c r="I92" s="19" t="str">
        <f aca="false">IF($A92="","",IFERROR(INDEX(Denetimler!$D:$D,MATCH($A92,Denetimler!$A:$A,0)),"No yok"))</f>
        <v>ASA</v>
      </c>
      <c r="J92" s="19" t="str">
        <f aca="false">IF($A92="","",IFERROR(INDEX(Denetimler!$E:$E,MATCH($A92,Denetimler!$A:$A,0)),"No yok"))</f>
        <v>İç denetim</v>
      </c>
      <c r="K92" s="25" t="n">
        <f aca="false">IF($A92="","",IFERROR(INDEX(Denetimler!$B:$B,MATCH($A92,Denetimler!$A:$A,0)),"No yok"))</f>
        <v>46138</v>
      </c>
    </row>
    <row r="93" customFormat="false" ht="15" hidden="false" customHeight="false" outlineLevel="0" collapsed="false">
      <c r="A93" s="24" t="s">
        <v>148</v>
      </c>
      <c r="B93" s="24" t="s">
        <v>210</v>
      </c>
      <c r="C93" s="24" t="s">
        <v>206</v>
      </c>
      <c r="D93" s="19" t="str">
        <f aca="false">IF($B93="","",IFERROR(INDEX(Madde_Listesi!$C:$C,MATCH($B93,Madde_Listesi!$B:$B,0)),"Kod yok"))</f>
        <v>Kimyasallar etiketli ve gıdadan ayrı saklanıyor</v>
      </c>
      <c r="E93" s="19" t="str">
        <f aca="false">IF($B93="","",IFERROR(INDEX(Madde_Listesi!$D:$D,MATCH($B93,Madde_Listesi!$B:$B,0)),"Kod yok"))</f>
        <v>Bulaşma</v>
      </c>
      <c r="F93" s="19" t="str">
        <f aca="false">IF($B93="","",IFERROR(INDEX(Madde_Listesi!$E:$E,MATCH($B93,Madde_Listesi!$B:$B,0)),"Kod yok"))</f>
        <v>Major</v>
      </c>
      <c r="G93" s="19" t="str">
        <f aca="false">IF($B93="","",IFERROR(INDEX(Madde_Listesi!$F:$F,MATCH($B93,Madde_Listesi!$B:$B,0)),"Kod yok"))</f>
        <v>Kimyasal güvenliği</v>
      </c>
      <c r="H93" s="19" t="str">
        <f aca="false">IF($A93="","",IFERROR(INDEX(Denetimler!$C:$C,MATCH($A93,Denetimler!$A:$A,0)),"No yok"))</f>
        <v>Mağaza A</v>
      </c>
      <c r="I93" s="19" t="str">
        <f aca="false">IF($A93="","",IFERROR(INDEX(Denetimler!$D:$D,MATCH($A93,Denetimler!$A:$A,0)),"No yok"))</f>
        <v>RSA</v>
      </c>
      <c r="J93" s="19" t="str">
        <f aca="false">IF($A93="","",IFERROR(INDEX(Denetimler!$E:$E,MATCH($A93,Denetimler!$A:$A,0)),"No yok"))</f>
        <v>İç denetim</v>
      </c>
      <c r="K93" s="25" t="n">
        <f aca="false">IF($A93="","",IFERROR(INDEX(Denetimler!$B:$B,MATCH($A93,Denetimler!$A:$A,0)),"No yok"))</f>
        <v>46129</v>
      </c>
    </row>
    <row r="94" customFormat="false" ht="15" hidden="false" customHeight="false" outlineLevel="0" collapsed="false">
      <c r="A94" s="24" t="s">
        <v>148</v>
      </c>
      <c r="B94" s="24" t="s">
        <v>210</v>
      </c>
      <c r="C94" s="24" t="s">
        <v>206</v>
      </c>
      <c r="D94" s="19" t="str">
        <f aca="false">IF($B94="","",IFERROR(INDEX(Madde_Listesi!$C:$C,MATCH($B94,Madde_Listesi!$B:$B,0)),"Kod yok"))</f>
        <v>Kimyasallar etiketli ve gıdadan ayrı saklanıyor</v>
      </c>
      <c r="E94" s="19" t="str">
        <f aca="false">IF($B94="","",IFERROR(INDEX(Madde_Listesi!$D:$D,MATCH($B94,Madde_Listesi!$B:$B,0)),"Kod yok"))</f>
        <v>Bulaşma</v>
      </c>
      <c r="F94" s="19" t="str">
        <f aca="false">IF($B94="","",IFERROR(INDEX(Madde_Listesi!$E:$E,MATCH($B94,Madde_Listesi!$B:$B,0)),"Kod yok"))</f>
        <v>Major</v>
      </c>
      <c r="G94" s="19" t="str">
        <f aca="false">IF($B94="","",IFERROR(INDEX(Madde_Listesi!$F:$F,MATCH($B94,Madde_Listesi!$B:$B,0)),"Kod yok"))</f>
        <v>Kimyasal güvenliği</v>
      </c>
      <c r="H94" s="19" t="str">
        <f aca="false">IF($A94="","",IFERROR(INDEX(Denetimler!$C:$C,MATCH($A94,Denetimler!$A:$A,0)),"No yok"))</f>
        <v>Mağaza A</v>
      </c>
      <c r="I94" s="19" t="str">
        <f aca="false">IF($A94="","",IFERROR(INDEX(Denetimler!$D:$D,MATCH($A94,Denetimler!$A:$A,0)),"No yok"))</f>
        <v>RSA</v>
      </c>
      <c r="J94" s="19" t="str">
        <f aca="false">IF($A94="","",IFERROR(INDEX(Denetimler!$E:$E,MATCH($A94,Denetimler!$A:$A,0)),"No yok"))</f>
        <v>İç denetim</v>
      </c>
      <c r="K94" s="25" t="n">
        <f aca="false">IF($A94="","",IFERROR(INDEX(Denetimler!$B:$B,MATCH($A94,Denetimler!$A:$A,0)),"No yok"))</f>
        <v>46129</v>
      </c>
    </row>
    <row r="95" customFormat="false" ht="15" hidden="false" customHeight="false" outlineLevel="0" collapsed="false">
      <c r="A95" s="24" t="s">
        <v>148</v>
      </c>
      <c r="B95" s="24" t="s">
        <v>223</v>
      </c>
      <c r="C95" s="24" t="s">
        <v>206</v>
      </c>
      <c r="D95" s="19" t="str">
        <f aca="false">IF($B95="","",IFERROR(INDEX(Madde_Listesi!$C:$C,MATCH($B95,Madde_Listesi!$B:$B,0)),"Kod yok"))</f>
        <v>Ürünlerin son kullanma tarihleri geçerli ve etiketli</v>
      </c>
      <c r="E95" s="19" t="str">
        <f aca="false">IF($B95="","",IFERROR(INDEX(Madde_Listesi!$D:$D,MATCH($B95,Madde_Listesi!$B:$B,0)),"Kod yok"))</f>
        <v>Bulaşma</v>
      </c>
      <c r="F95" s="19" t="str">
        <f aca="false">IF($B95="","",IFERROR(INDEX(Madde_Listesi!$E:$E,MATCH($B95,Madde_Listesi!$B:$B,0)),"Kod yok"))</f>
        <v>Kritik</v>
      </c>
      <c r="G95" s="19" t="str">
        <f aca="false">IF($B95="","",IFERROR(INDEX(Madde_Listesi!$F:$F,MATCH($B95,Madde_Listesi!$B:$B,0)),"Kod yok"))</f>
        <v>Ürün tarihleme ve etiketleme</v>
      </c>
      <c r="H95" s="19" t="str">
        <f aca="false">IF($A95="","",IFERROR(INDEX(Denetimler!$C:$C,MATCH($A95,Denetimler!$A:$A,0)),"No yok"))</f>
        <v>Mağaza A</v>
      </c>
      <c r="I95" s="19" t="str">
        <f aca="false">IF($A95="","",IFERROR(INDEX(Denetimler!$D:$D,MATCH($A95,Denetimler!$A:$A,0)),"No yok"))</f>
        <v>RSA</v>
      </c>
      <c r="J95" s="19" t="str">
        <f aca="false">IF($A95="","",IFERROR(INDEX(Denetimler!$E:$E,MATCH($A95,Denetimler!$A:$A,0)),"No yok"))</f>
        <v>İç denetim</v>
      </c>
      <c r="K95" s="25" t="n">
        <f aca="false">IF($A95="","",IFERROR(INDEX(Denetimler!$B:$B,MATCH($A95,Denetimler!$A:$A,0)),"No yok"))</f>
        <v>46129</v>
      </c>
    </row>
    <row r="96" customFormat="false" ht="15" hidden="false" customHeight="false" outlineLevel="0" collapsed="false">
      <c r="A96" s="24" t="s">
        <v>148</v>
      </c>
      <c r="B96" s="24" t="s">
        <v>214</v>
      </c>
      <c r="C96" s="24" t="s">
        <v>206</v>
      </c>
      <c r="D96" s="19" t="str">
        <f aca="false">IF($B96="","",IFERROR(INDEX(Madde_Listesi!$C:$C,MATCH($B96,Madde_Listesi!$B:$B,0)),"Kod yok"))</f>
        <v>Sıcaklık kayıtları tam ve zamanında tutulmuş</v>
      </c>
      <c r="E96" s="19" t="str">
        <f aca="false">IF($B96="","",IFERROR(INDEX(Madde_Listesi!$D:$D,MATCH($B96,Madde_Listesi!$B:$B,0)),"Kod yok"))</f>
        <v>Sıcaklık</v>
      </c>
      <c r="F96" s="19" t="str">
        <f aca="false">IF($B96="","",IFERROR(INDEX(Madde_Listesi!$E:$E,MATCH($B96,Madde_Listesi!$B:$B,0)),"Kod yok"))</f>
        <v>Major</v>
      </c>
      <c r="G96" s="19" t="str">
        <f aca="false">IF($B96="","",IFERROR(INDEX(Madde_Listesi!$F:$F,MATCH($B96,Madde_Listesi!$B:$B,0)),"Kod yok"))</f>
        <v>Soğuk zincir ve sıcaklık kontrolü</v>
      </c>
      <c r="H96" s="19" t="str">
        <f aca="false">IF($A96="","",IFERROR(INDEX(Denetimler!$C:$C,MATCH($A96,Denetimler!$A:$A,0)),"No yok"))</f>
        <v>Mağaza A</v>
      </c>
      <c r="I96" s="19" t="str">
        <f aca="false">IF($A96="","",IFERROR(INDEX(Denetimler!$D:$D,MATCH($A96,Denetimler!$A:$A,0)),"No yok"))</f>
        <v>RSA</v>
      </c>
      <c r="J96" s="19" t="str">
        <f aca="false">IF($A96="","",IFERROR(INDEX(Denetimler!$E:$E,MATCH($A96,Denetimler!$A:$A,0)),"No yok"))</f>
        <v>İç denetim</v>
      </c>
      <c r="K96" s="25" t="n">
        <f aca="false">IF($A96="","",IFERROR(INDEX(Denetimler!$B:$B,MATCH($A96,Denetimler!$A:$A,0)),"No yok"))</f>
        <v>46129</v>
      </c>
    </row>
    <row r="97" customFormat="false" ht="15" hidden="false" customHeight="false" outlineLevel="0" collapsed="false">
      <c r="A97" s="24" t="s">
        <v>150</v>
      </c>
      <c r="B97" s="24" t="s">
        <v>216</v>
      </c>
      <c r="C97" s="24" t="s">
        <v>206</v>
      </c>
      <c r="D97" s="19" t="str">
        <f aca="false">IF($B97="","",IFERROR(INDEX(Madde_Listesi!$C:$C,MATCH($B97,Madde_Listesi!$B:$B,0)),"Kod yok"))</f>
        <v>Kasa açılış-kapanış prosedürü uygulanıyor</v>
      </c>
      <c r="E97" s="19" t="str">
        <f aca="false">IF($B97="","",IFERROR(INDEX(Madde_Listesi!$D:$D,MATCH($B97,Madde_Listesi!$B:$B,0)),"Kod yok"))</f>
        <v>Operasyon</v>
      </c>
      <c r="F97" s="19" t="str">
        <f aca="false">IF($B97="","",IFERROR(INDEX(Madde_Listesi!$E:$E,MATCH($B97,Madde_Listesi!$B:$B,0)),"Kod yok"))</f>
        <v>Kritik</v>
      </c>
      <c r="G97" s="19" t="str">
        <f aca="false">IF($B97="","",IFERROR(INDEX(Madde_Listesi!$F:$F,MATCH($B97,Madde_Listesi!$B:$B,0)),"Kod yok"))</f>
        <v>Kasa prosedürleri</v>
      </c>
      <c r="H97" s="19" t="str">
        <f aca="false">IF($A97="","",IFERROR(INDEX(Denetimler!$C:$C,MATCH($A97,Denetimler!$A:$A,0)),"No yok"))</f>
        <v>Mağaza B</v>
      </c>
      <c r="I97" s="19" t="str">
        <f aca="false">IF($A97="","",IFERROR(INDEX(Denetimler!$D:$D,MATCH($A97,Denetimler!$A:$A,0)),"No yok"))</f>
        <v>ASA</v>
      </c>
      <c r="J97" s="19" t="str">
        <f aca="false">IF($A97="","",IFERROR(INDEX(Denetimler!$E:$E,MATCH($A97,Denetimler!$A:$A,0)),"No yok"))</f>
        <v>İç denetim</v>
      </c>
      <c r="K97" s="25" t="n">
        <f aca="false">IF($A97="","",IFERROR(INDEX(Denetimler!$B:$B,MATCH($A97,Denetimler!$A:$A,0)),"No yok"))</f>
        <v>46132</v>
      </c>
    </row>
    <row r="98" customFormat="false" ht="15" hidden="false" customHeight="false" outlineLevel="0" collapsed="false">
      <c r="A98" s="24" t="s">
        <v>173</v>
      </c>
      <c r="B98" s="24" t="s">
        <v>226</v>
      </c>
      <c r="C98" s="24" t="s">
        <v>206</v>
      </c>
      <c r="D98" s="19" t="str">
        <f aca="false">IF($B98="","",IFERROR(INDEX(Madde_Listesi!$C:$C,MATCH($B98,Madde_Listesi!$B:$B,0)),"Kod yok"))</f>
        <v>Kasa farkları kayıt altına alınmış ve açıklanmış</v>
      </c>
      <c r="E98" s="19" t="str">
        <f aca="false">IF($B98="","",IFERROR(INDEX(Madde_Listesi!$D:$D,MATCH($B98,Madde_Listesi!$B:$B,0)),"Kod yok"))</f>
        <v>Nakit</v>
      </c>
      <c r="F98" s="19" t="str">
        <f aca="false">IF($B98="","",IFERROR(INDEX(Madde_Listesi!$E:$E,MATCH($B98,Madde_Listesi!$B:$B,0)),"Kod yok"))</f>
        <v>Kritik</v>
      </c>
      <c r="G98" s="19" t="str">
        <f aca="false">IF($B98="","",IFERROR(INDEX(Madde_Listesi!$F:$F,MATCH($B98,Madde_Listesi!$B:$B,0)),"Kod yok"))</f>
        <v>Kasa prosedürleri</v>
      </c>
      <c r="H98" s="19" t="str">
        <f aca="false">IF($A98="","",IFERROR(INDEX(Denetimler!$C:$C,MATCH($A98,Denetimler!$A:$A,0)),"No yok"))</f>
        <v>Mağaza B</v>
      </c>
      <c r="I98" s="19" t="str">
        <f aca="false">IF($A98="","",IFERROR(INDEX(Denetimler!$D:$D,MATCH($A98,Denetimler!$A:$A,0)),"No yok"))</f>
        <v>PAP</v>
      </c>
      <c r="J98" s="19" t="str">
        <f aca="false">IF($A98="","",IFERROR(INDEX(Denetimler!$E:$E,MATCH($A98,Denetimler!$A:$A,0)),"No yok"))</f>
        <v>İç denetim</v>
      </c>
      <c r="K98" s="25" t="n">
        <f aca="false">IF($A98="","",IFERROR(INDEX(Denetimler!$B:$B,MATCH($A98,Denetimler!$A:$A,0)),"No yok"))</f>
        <v>46171</v>
      </c>
    </row>
    <row r="99" customFormat="false" ht="15" hidden="false" customHeight="false" outlineLevel="0" collapsed="false">
      <c r="A99" s="24" t="s">
        <v>173</v>
      </c>
      <c r="B99" s="24" t="s">
        <v>218</v>
      </c>
      <c r="C99" s="24" t="s">
        <v>206</v>
      </c>
      <c r="D99" s="19" t="str">
        <f aca="false">IF($B99="","",IFERROR(INDEX(Madde_Listesi!$C:$C,MATCH($B99,Madde_Listesi!$B:$B,0)),"Kod yok"))</f>
        <v>Depo ve kasa anahtarları yetkili kişide</v>
      </c>
      <c r="E99" s="19" t="str">
        <f aca="false">IF($B99="","",IFERROR(INDEX(Madde_Listesi!$D:$D,MATCH($B99,Madde_Listesi!$B:$B,0)),"Kod yok"))</f>
        <v>Güvenlik</v>
      </c>
      <c r="F99" s="19" t="str">
        <f aca="false">IF($B99="","",IFERROR(INDEX(Madde_Listesi!$E:$E,MATCH($B99,Madde_Listesi!$B:$B,0)),"Kod yok"))</f>
        <v>Major</v>
      </c>
      <c r="G99" s="19" t="str">
        <f aca="false">IF($B99="","",IFERROR(INDEX(Madde_Listesi!$F:$F,MATCH($B99,Madde_Listesi!$B:$B,0)),"Kod yok"))</f>
        <v>Mağaza güvenliği</v>
      </c>
      <c r="H99" s="19" t="str">
        <f aca="false">IF($A99="","",IFERROR(INDEX(Denetimler!$C:$C,MATCH($A99,Denetimler!$A:$A,0)),"No yok"))</f>
        <v>Mağaza B</v>
      </c>
      <c r="I99" s="19" t="str">
        <f aca="false">IF($A99="","",IFERROR(INDEX(Denetimler!$D:$D,MATCH($A99,Denetimler!$A:$A,0)),"No yok"))</f>
        <v>PAP</v>
      </c>
      <c r="J99" s="19" t="str">
        <f aca="false">IF($A99="","",IFERROR(INDEX(Denetimler!$E:$E,MATCH($A99,Denetimler!$A:$A,0)),"No yok"))</f>
        <v>İç denetim</v>
      </c>
      <c r="K99" s="25" t="n">
        <f aca="false">IF($A99="","",IFERROR(INDEX(Denetimler!$B:$B,MATCH($A99,Denetimler!$A:$A,0)),"No yok"))</f>
        <v>46171</v>
      </c>
    </row>
    <row r="100" customFormat="false" ht="15" hidden="false" customHeight="false" outlineLevel="0" collapsed="false">
      <c r="A100" s="24" t="s">
        <v>173</v>
      </c>
      <c r="B100" s="24" t="s">
        <v>226</v>
      </c>
      <c r="C100" s="24" t="s">
        <v>206</v>
      </c>
      <c r="D100" s="19" t="str">
        <f aca="false">IF($B100="","",IFERROR(INDEX(Madde_Listesi!$C:$C,MATCH($B100,Madde_Listesi!$B:$B,0)),"Kod yok"))</f>
        <v>Kasa farkları kayıt altına alınmış ve açıklanmış</v>
      </c>
      <c r="E100" s="19" t="str">
        <f aca="false">IF($B100="","",IFERROR(INDEX(Madde_Listesi!$D:$D,MATCH($B100,Madde_Listesi!$B:$B,0)),"Kod yok"))</f>
        <v>Nakit</v>
      </c>
      <c r="F100" s="19" t="str">
        <f aca="false">IF($B100="","",IFERROR(INDEX(Madde_Listesi!$E:$E,MATCH($B100,Madde_Listesi!$B:$B,0)),"Kod yok"))</f>
        <v>Kritik</v>
      </c>
      <c r="G100" s="19" t="str">
        <f aca="false">IF($B100="","",IFERROR(INDEX(Madde_Listesi!$F:$F,MATCH($B100,Madde_Listesi!$B:$B,0)),"Kod yok"))</f>
        <v>Kasa prosedürleri</v>
      </c>
      <c r="H100" s="19" t="str">
        <f aca="false">IF($A100="","",IFERROR(INDEX(Denetimler!$C:$C,MATCH($A100,Denetimler!$A:$A,0)),"No yok"))</f>
        <v>Mağaza B</v>
      </c>
      <c r="I100" s="19" t="str">
        <f aca="false">IF($A100="","",IFERROR(INDEX(Denetimler!$D:$D,MATCH($A100,Denetimler!$A:$A,0)),"No yok"))</f>
        <v>PAP</v>
      </c>
      <c r="J100" s="19" t="str">
        <f aca="false">IF($A100="","",IFERROR(INDEX(Denetimler!$E:$E,MATCH($A100,Denetimler!$A:$A,0)),"No yok"))</f>
        <v>İç denetim</v>
      </c>
      <c r="K100" s="25" t="n">
        <f aca="false">IF($A100="","",IFERROR(INDEX(Denetimler!$B:$B,MATCH($A100,Denetimler!$A:$A,0)),"No yok"))</f>
        <v>46171</v>
      </c>
    </row>
    <row r="101" customFormat="false" ht="15" hidden="false" customHeight="false" outlineLevel="0" collapsed="false">
      <c r="A101" s="24" t="s">
        <v>152</v>
      </c>
      <c r="B101" s="24" t="s">
        <v>214</v>
      </c>
      <c r="C101" s="24" t="s">
        <v>206</v>
      </c>
      <c r="D101" s="19" t="str">
        <f aca="false">IF($B101="","",IFERROR(INDEX(Madde_Listesi!$C:$C,MATCH($B101,Madde_Listesi!$B:$B,0)),"Kod yok"))</f>
        <v>Sıcaklık kayıtları tam ve zamanında tutulmuş</v>
      </c>
      <c r="E101" s="19" t="str">
        <f aca="false">IF($B101="","",IFERROR(INDEX(Madde_Listesi!$D:$D,MATCH($B101,Madde_Listesi!$B:$B,0)),"Kod yok"))</f>
        <v>Sıcaklık</v>
      </c>
      <c r="F101" s="19" t="str">
        <f aca="false">IF($B101="","",IFERROR(INDEX(Madde_Listesi!$E:$E,MATCH($B101,Madde_Listesi!$B:$B,0)),"Kod yok"))</f>
        <v>Major</v>
      </c>
      <c r="G101" s="19" t="str">
        <f aca="false">IF($B101="","",IFERROR(INDEX(Madde_Listesi!$F:$F,MATCH($B101,Madde_Listesi!$B:$B,0)),"Kod yok"))</f>
        <v>Soğuk zincir ve sıcaklık kontrolü</v>
      </c>
      <c r="H101" s="19" t="str">
        <f aca="false">IF($A101="","",IFERROR(INDEX(Denetimler!$C:$C,MATCH($A101,Denetimler!$A:$A,0)),"No yok"))</f>
        <v>Mağaza B</v>
      </c>
      <c r="I101" s="19" t="str">
        <f aca="false">IF($A101="","",IFERROR(INDEX(Denetimler!$D:$D,MATCH($A101,Denetimler!$A:$A,0)),"No yok"))</f>
        <v>RSA</v>
      </c>
      <c r="J101" s="19" t="str">
        <f aca="false">IF($A101="","",IFERROR(INDEX(Denetimler!$E:$E,MATCH($A101,Denetimler!$A:$A,0)),"No yok"))</f>
        <v>İç denetim</v>
      </c>
      <c r="K101" s="25" t="n">
        <f aca="false">IF($A101="","",IFERROR(INDEX(Denetimler!$B:$B,MATCH($A101,Denetimler!$A:$A,0)),"No yok"))</f>
        <v>46134</v>
      </c>
    </row>
    <row r="102" customFormat="false" ht="15" hidden="false" customHeight="false" outlineLevel="0" collapsed="false">
      <c r="A102" s="24" t="s">
        <v>152</v>
      </c>
      <c r="B102" s="24" t="s">
        <v>214</v>
      </c>
      <c r="C102" s="24" t="s">
        <v>206</v>
      </c>
      <c r="D102" s="19" t="str">
        <f aca="false">IF($B102="","",IFERROR(INDEX(Madde_Listesi!$C:$C,MATCH($B102,Madde_Listesi!$B:$B,0)),"Kod yok"))</f>
        <v>Sıcaklık kayıtları tam ve zamanında tutulmuş</v>
      </c>
      <c r="E102" s="19" t="str">
        <f aca="false">IF($B102="","",IFERROR(INDEX(Madde_Listesi!$D:$D,MATCH($B102,Madde_Listesi!$B:$B,0)),"Kod yok"))</f>
        <v>Sıcaklık</v>
      </c>
      <c r="F102" s="19" t="str">
        <f aca="false">IF($B102="","",IFERROR(INDEX(Madde_Listesi!$E:$E,MATCH($B102,Madde_Listesi!$B:$B,0)),"Kod yok"))</f>
        <v>Major</v>
      </c>
      <c r="G102" s="19" t="str">
        <f aca="false">IF($B102="","",IFERROR(INDEX(Madde_Listesi!$F:$F,MATCH($B102,Madde_Listesi!$B:$B,0)),"Kod yok"))</f>
        <v>Soğuk zincir ve sıcaklık kontrolü</v>
      </c>
      <c r="H102" s="19" t="str">
        <f aca="false">IF($A102="","",IFERROR(INDEX(Denetimler!$C:$C,MATCH($A102,Denetimler!$A:$A,0)),"No yok"))</f>
        <v>Mağaza B</v>
      </c>
      <c r="I102" s="19" t="str">
        <f aca="false">IF($A102="","",IFERROR(INDEX(Denetimler!$D:$D,MATCH($A102,Denetimler!$A:$A,0)),"No yok"))</f>
        <v>RSA</v>
      </c>
      <c r="J102" s="19" t="str">
        <f aca="false">IF($A102="","",IFERROR(INDEX(Denetimler!$E:$E,MATCH($A102,Denetimler!$A:$A,0)),"No yok"))</f>
        <v>İç denetim</v>
      </c>
      <c r="K102" s="25" t="n">
        <f aca="false">IF($A102="","",IFERROR(INDEX(Denetimler!$B:$B,MATCH($A102,Denetimler!$A:$A,0)),"No yok"))</f>
        <v>46134</v>
      </c>
    </row>
    <row r="103" customFormat="false" ht="15" hidden="false" customHeight="false" outlineLevel="0" collapsed="false">
      <c r="A103" s="24" t="s">
        <v>152</v>
      </c>
      <c r="B103" s="24" t="s">
        <v>213</v>
      </c>
      <c r="C103" s="24" t="s">
        <v>206</v>
      </c>
      <c r="D103" s="19" t="str">
        <f aca="false">IF($B103="","",IFERROR(INDEX(Madde_Listesi!$C:$C,MATCH($B103,Madde_Listesi!$B:$B,0)),"Kod yok"))</f>
        <v>Soğutucular uygun sıcaklıkta</v>
      </c>
      <c r="E103" s="19" t="str">
        <f aca="false">IF($B103="","",IFERROR(INDEX(Madde_Listesi!$D:$D,MATCH($B103,Madde_Listesi!$B:$B,0)),"Kod yok"))</f>
        <v>Sıcaklık</v>
      </c>
      <c r="F103" s="19" t="str">
        <f aca="false">IF($B103="","",IFERROR(INDEX(Madde_Listesi!$E:$E,MATCH($B103,Madde_Listesi!$B:$B,0)),"Kod yok"))</f>
        <v>Kritik</v>
      </c>
      <c r="G103" s="19" t="str">
        <f aca="false">IF($B103="","",IFERROR(INDEX(Madde_Listesi!$F:$F,MATCH($B103,Madde_Listesi!$B:$B,0)),"Kod yok"))</f>
        <v>Soğuk zincir ve sıcaklık kontrolü</v>
      </c>
      <c r="H103" s="19" t="str">
        <f aca="false">IF($A103="","",IFERROR(INDEX(Denetimler!$C:$C,MATCH($A103,Denetimler!$A:$A,0)),"No yok"))</f>
        <v>Mağaza B</v>
      </c>
      <c r="I103" s="19" t="str">
        <f aca="false">IF($A103="","",IFERROR(INDEX(Denetimler!$D:$D,MATCH($A103,Denetimler!$A:$A,0)),"No yok"))</f>
        <v>RSA</v>
      </c>
      <c r="J103" s="19" t="str">
        <f aca="false">IF($A103="","",IFERROR(INDEX(Denetimler!$E:$E,MATCH($A103,Denetimler!$A:$A,0)),"No yok"))</f>
        <v>İç denetim</v>
      </c>
      <c r="K103" s="25" t="n">
        <f aca="false">IF($A103="","",IFERROR(INDEX(Denetimler!$B:$B,MATCH($A103,Denetimler!$A:$A,0)),"No yok"))</f>
        <v>46134</v>
      </c>
    </row>
    <row r="104" customFormat="false" ht="15" hidden="false" customHeight="false" outlineLevel="0" collapsed="false">
      <c r="A104" s="24" t="s">
        <v>152</v>
      </c>
      <c r="B104" s="24" t="s">
        <v>210</v>
      </c>
      <c r="C104" s="24" t="s">
        <v>206</v>
      </c>
      <c r="D104" s="19" t="str">
        <f aca="false">IF($B104="","",IFERROR(INDEX(Madde_Listesi!$C:$C,MATCH($B104,Madde_Listesi!$B:$B,0)),"Kod yok"))</f>
        <v>Kimyasallar etiketli ve gıdadan ayrı saklanıyor</v>
      </c>
      <c r="E104" s="19" t="str">
        <f aca="false">IF($B104="","",IFERROR(INDEX(Madde_Listesi!$D:$D,MATCH($B104,Madde_Listesi!$B:$B,0)),"Kod yok"))</f>
        <v>Bulaşma</v>
      </c>
      <c r="F104" s="19" t="str">
        <f aca="false">IF($B104="","",IFERROR(INDEX(Madde_Listesi!$E:$E,MATCH($B104,Madde_Listesi!$B:$B,0)),"Kod yok"))</f>
        <v>Major</v>
      </c>
      <c r="G104" s="19" t="str">
        <f aca="false">IF($B104="","",IFERROR(INDEX(Madde_Listesi!$F:$F,MATCH($B104,Madde_Listesi!$B:$B,0)),"Kod yok"))</f>
        <v>Kimyasal güvenliği</v>
      </c>
      <c r="H104" s="19" t="str">
        <f aca="false">IF($A104="","",IFERROR(INDEX(Denetimler!$C:$C,MATCH($A104,Denetimler!$A:$A,0)),"No yok"))</f>
        <v>Mağaza B</v>
      </c>
      <c r="I104" s="19" t="str">
        <f aca="false">IF($A104="","",IFERROR(INDEX(Denetimler!$D:$D,MATCH($A104,Denetimler!$A:$A,0)),"No yok"))</f>
        <v>RSA</v>
      </c>
      <c r="J104" s="19" t="str">
        <f aca="false">IF($A104="","",IFERROR(INDEX(Denetimler!$E:$E,MATCH($A104,Denetimler!$A:$A,0)),"No yok"))</f>
        <v>İç denetim</v>
      </c>
      <c r="K104" s="25" t="n">
        <f aca="false">IF($A104="","",IFERROR(INDEX(Denetimler!$B:$B,MATCH($A104,Denetimler!$A:$A,0)),"No yok"))</f>
        <v>46134</v>
      </c>
    </row>
    <row r="105" customFormat="false" ht="15" hidden="false" customHeight="false" outlineLevel="0" collapsed="false">
      <c r="A105" s="24" t="s">
        <v>163</v>
      </c>
      <c r="B105" s="24" t="s">
        <v>205</v>
      </c>
      <c r="C105" s="24" t="s">
        <v>206</v>
      </c>
      <c r="D105" s="19" t="str">
        <f aca="false">IF($B105="","",IFERROR(INDEX(Madde_Listesi!$C:$C,MATCH($B105,Madde_Listesi!$B:$B,0)),"Kod yok"))</f>
        <v>Stok sayımı ve sipariş kayıtları tutarlı</v>
      </c>
      <c r="E105" s="19" t="str">
        <f aca="false">IF($B105="","",IFERROR(INDEX(Madde_Listesi!$D:$D,MATCH($B105,Madde_Listesi!$B:$B,0)),"Kod yok"))</f>
        <v>Stok</v>
      </c>
      <c r="F105" s="19" t="str">
        <f aca="false">IF($B105="","",IFERROR(INDEX(Madde_Listesi!$E:$E,MATCH($B105,Madde_Listesi!$B:$B,0)),"Kod yok"))</f>
        <v>Major</v>
      </c>
      <c r="G105" s="19" t="str">
        <f aca="false">IF($B105="","",IFERROR(INDEX(Madde_Listesi!$F:$F,MATCH($B105,Madde_Listesi!$B:$B,0)),"Kod yok"))</f>
        <v>Stok ve sipariş yönetimi</v>
      </c>
      <c r="H105" s="19" t="str">
        <f aca="false">IF($A105="","",IFERROR(INDEX(Denetimler!$C:$C,MATCH($A105,Denetimler!$A:$A,0)),"No yok"))</f>
        <v>Mağaza D</v>
      </c>
      <c r="I105" s="19" t="str">
        <f aca="false">IF($A105="","",IFERROR(INDEX(Denetimler!$D:$D,MATCH($A105,Denetimler!$A:$A,0)),"No yok"))</f>
        <v>ASA</v>
      </c>
      <c r="J105" s="19" t="str">
        <f aca="false">IF($A105="","",IFERROR(INDEX(Denetimler!$E:$E,MATCH($A105,Denetimler!$A:$A,0)),"No yok"))</f>
        <v>İç denetim</v>
      </c>
      <c r="K105" s="25" t="n">
        <f aca="false">IF($A105="","",IFERROR(INDEX(Denetimler!$B:$B,MATCH($A105,Denetimler!$A:$A,0)),"No yok"))</f>
        <v>46154</v>
      </c>
    </row>
    <row r="106" customFormat="false" ht="15" hidden="false" customHeight="false" outlineLevel="0" collapsed="false">
      <c r="A106" s="24" t="s">
        <v>163</v>
      </c>
      <c r="B106" s="24" t="s">
        <v>207</v>
      </c>
      <c r="C106" s="24" t="s">
        <v>206</v>
      </c>
      <c r="D106" s="19" t="str">
        <f aca="false">IF($B106="","",IFERROR(INDEX(Madde_Listesi!$C:$C,MATCH($B106,Madde_Listesi!$B:$B,0)),"Kod yok"))</f>
        <v>Vardiya planı yoğunluğa uygun hazırlanmış</v>
      </c>
      <c r="E106" s="19" t="str">
        <f aca="false">IF($B106="","",IFERROR(INDEX(Madde_Listesi!$D:$D,MATCH($B106,Madde_Listesi!$B:$B,0)),"Kod yok"))</f>
        <v>Operasyon</v>
      </c>
      <c r="F106" s="19" t="str">
        <f aca="false">IF($B106="","",IFERROR(INDEX(Madde_Listesi!$E:$E,MATCH($B106,Madde_Listesi!$B:$B,0)),"Kod yok"))</f>
        <v>Major</v>
      </c>
      <c r="G106" s="19" t="str">
        <f aca="false">IF($B106="","",IFERROR(INDEX(Madde_Listesi!$F:$F,MATCH($B106,Madde_Listesi!$B:$B,0)),"Kod yok"))</f>
        <v>Vardiya planlama</v>
      </c>
      <c r="H106" s="19" t="str">
        <f aca="false">IF($A106="","",IFERROR(INDEX(Denetimler!$C:$C,MATCH($A106,Denetimler!$A:$A,0)),"No yok"))</f>
        <v>Mağaza D</v>
      </c>
      <c r="I106" s="19" t="str">
        <f aca="false">IF($A106="","",IFERROR(INDEX(Denetimler!$D:$D,MATCH($A106,Denetimler!$A:$A,0)),"No yok"))</f>
        <v>ASA</v>
      </c>
      <c r="J106" s="19" t="str">
        <f aca="false">IF($A106="","",IFERROR(INDEX(Denetimler!$E:$E,MATCH($A106,Denetimler!$A:$A,0)),"No yok"))</f>
        <v>İç denetim</v>
      </c>
      <c r="K106" s="25" t="n">
        <f aca="false">IF($A106="","",IFERROR(INDEX(Denetimler!$B:$B,MATCH($A106,Denetimler!$A:$A,0)),"No yok"))</f>
        <v>46154</v>
      </c>
    </row>
    <row r="107" customFormat="false" ht="15" hidden="false" customHeight="false" outlineLevel="0" collapsed="false">
      <c r="A107" s="24" t="s">
        <v>163</v>
      </c>
      <c r="B107" s="24" t="s">
        <v>207</v>
      </c>
      <c r="C107" s="24" t="s">
        <v>206</v>
      </c>
      <c r="D107" s="19" t="str">
        <f aca="false">IF($B107="","",IFERROR(INDEX(Madde_Listesi!$C:$C,MATCH($B107,Madde_Listesi!$B:$B,0)),"Kod yok"))</f>
        <v>Vardiya planı yoğunluğa uygun hazırlanmış</v>
      </c>
      <c r="E107" s="19" t="str">
        <f aca="false">IF($B107="","",IFERROR(INDEX(Madde_Listesi!$D:$D,MATCH($B107,Madde_Listesi!$B:$B,0)),"Kod yok"))</f>
        <v>Operasyon</v>
      </c>
      <c r="F107" s="19" t="str">
        <f aca="false">IF($B107="","",IFERROR(INDEX(Madde_Listesi!$E:$E,MATCH($B107,Madde_Listesi!$B:$B,0)),"Kod yok"))</f>
        <v>Major</v>
      </c>
      <c r="G107" s="19" t="str">
        <f aca="false">IF($B107="","",IFERROR(INDEX(Madde_Listesi!$F:$F,MATCH($B107,Madde_Listesi!$B:$B,0)),"Kod yok"))</f>
        <v>Vardiya planlama</v>
      </c>
      <c r="H107" s="19" t="str">
        <f aca="false">IF($A107="","",IFERROR(INDEX(Denetimler!$C:$C,MATCH($A107,Denetimler!$A:$A,0)),"No yok"))</f>
        <v>Mağaza D</v>
      </c>
      <c r="I107" s="19" t="str">
        <f aca="false">IF($A107="","",IFERROR(INDEX(Denetimler!$D:$D,MATCH($A107,Denetimler!$A:$A,0)),"No yok"))</f>
        <v>ASA</v>
      </c>
      <c r="J107" s="19" t="str">
        <f aca="false">IF($A107="","",IFERROR(INDEX(Denetimler!$E:$E,MATCH($A107,Denetimler!$A:$A,0)),"No yok"))</f>
        <v>İç denetim</v>
      </c>
      <c r="K107" s="25" t="n">
        <f aca="false">IF($A107="","",IFERROR(INDEX(Denetimler!$B:$B,MATCH($A107,Denetimler!$A:$A,0)),"No yok"))</f>
        <v>46154</v>
      </c>
    </row>
    <row r="108" customFormat="false" ht="15" hidden="false" customHeight="false" outlineLevel="0" collapsed="false">
      <c r="A108" s="24" t="s">
        <v>163</v>
      </c>
      <c r="B108" s="24" t="s">
        <v>205</v>
      </c>
      <c r="C108" s="24" t="s">
        <v>206</v>
      </c>
      <c r="D108" s="19" t="str">
        <f aca="false">IF($B108="","",IFERROR(INDEX(Madde_Listesi!$C:$C,MATCH($B108,Madde_Listesi!$B:$B,0)),"Kod yok"))</f>
        <v>Stok sayımı ve sipariş kayıtları tutarlı</v>
      </c>
      <c r="E108" s="19" t="str">
        <f aca="false">IF($B108="","",IFERROR(INDEX(Madde_Listesi!$D:$D,MATCH($B108,Madde_Listesi!$B:$B,0)),"Kod yok"))</f>
        <v>Stok</v>
      </c>
      <c r="F108" s="19" t="str">
        <f aca="false">IF($B108="","",IFERROR(INDEX(Madde_Listesi!$E:$E,MATCH($B108,Madde_Listesi!$B:$B,0)),"Kod yok"))</f>
        <v>Major</v>
      </c>
      <c r="G108" s="19" t="str">
        <f aca="false">IF($B108="","",IFERROR(INDEX(Madde_Listesi!$F:$F,MATCH($B108,Madde_Listesi!$B:$B,0)),"Kod yok"))</f>
        <v>Stok ve sipariş yönetimi</v>
      </c>
      <c r="H108" s="19" t="str">
        <f aca="false">IF($A108="","",IFERROR(INDEX(Denetimler!$C:$C,MATCH($A108,Denetimler!$A:$A,0)),"No yok"))</f>
        <v>Mağaza D</v>
      </c>
      <c r="I108" s="19" t="str">
        <f aca="false">IF($A108="","",IFERROR(INDEX(Denetimler!$D:$D,MATCH($A108,Denetimler!$A:$A,0)),"No yok"))</f>
        <v>ASA</v>
      </c>
      <c r="J108" s="19" t="str">
        <f aca="false">IF($A108="","",IFERROR(INDEX(Denetimler!$E:$E,MATCH($A108,Denetimler!$A:$A,0)),"No yok"))</f>
        <v>İç denetim</v>
      </c>
      <c r="K108" s="25" t="n">
        <f aca="false">IF($A108="","",IFERROR(INDEX(Denetimler!$B:$B,MATCH($A108,Denetimler!$A:$A,0)),"No yok"))</f>
        <v>46154</v>
      </c>
    </row>
    <row r="109" customFormat="false" ht="15" hidden="false" customHeight="false" outlineLevel="0" collapsed="false">
      <c r="A109" s="24" t="s">
        <v>153</v>
      </c>
      <c r="B109" s="24" t="s">
        <v>217</v>
      </c>
      <c r="C109" s="24" t="s">
        <v>206</v>
      </c>
      <c r="D109" s="19" t="str">
        <f aca="false">IF($B109="","",IFERROR(INDEX(Madde_Listesi!$C:$C,MATCH($B109,Madde_Listesi!$B:$B,0)),"Kod yok"))</f>
        <v>Kamera kayıtları erişilebilir ve süresi uygun</v>
      </c>
      <c r="E109" s="19" t="str">
        <f aca="false">IF($B109="","",IFERROR(INDEX(Madde_Listesi!$D:$D,MATCH($B109,Madde_Listesi!$B:$B,0)),"Kod yok"))</f>
        <v>Güvenlik</v>
      </c>
      <c r="F109" s="19" t="str">
        <f aca="false">IF($B109="","",IFERROR(INDEX(Madde_Listesi!$E:$E,MATCH($B109,Madde_Listesi!$B:$B,0)),"Kod yok"))</f>
        <v>Minör</v>
      </c>
      <c r="G109" s="19" t="str">
        <f aca="false">IF($B109="","",IFERROR(INDEX(Madde_Listesi!$F:$F,MATCH($B109,Madde_Listesi!$B:$B,0)),"Kod yok"))</f>
        <v>Mağaza güvenliği</v>
      </c>
      <c r="H109" s="19" t="str">
        <f aca="false">IF($A109="","",IFERROR(INDEX(Denetimler!$C:$C,MATCH($A109,Denetimler!$A:$A,0)),"No yok"))</f>
        <v>Mağaza D</v>
      </c>
      <c r="I109" s="19" t="str">
        <f aca="false">IF($A109="","",IFERROR(INDEX(Denetimler!$D:$D,MATCH($A109,Denetimler!$A:$A,0)),"No yok"))</f>
        <v>PAP</v>
      </c>
      <c r="J109" s="19" t="str">
        <f aca="false">IF($A109="","",IFERROR(INDEX(Denetimler!$E:$E,MATCH($A109,Denetimler!$A:$A,0)),"No yok"))</f>
        <v>İç denetim</v>
      </c>
      <c r="K109" s="25" t="n">
        <f aca="false">IF($A109="","",IFERROR(INDEX(Denetimler!$B:$B,MATCH($A109,Denetimler!$A:$A,0)),"No yok"))</f>
        <v>46135</v>
      </c>
    </row>
    <row r="110" customFormat="false" ht="15" hidden="false" customHeight="false" outlineLevel="0" collapsed="false">
      <c r="A110" s="24" t="s">
        <v>153</v>
      </c>
      <c r="B110" s="24" t="s">
        <v>218</v>
      </c>
      <c r="C110" s="24" t="s">
        <v>206</v>
      </c>
      <c r="D110" s="19" t="str">
        <f aca="false">IF($B110="","",IFERROR(INDEX(Madde_Listesi!$C:$C,MATCH($B110,Madde_Listesi!$B:$B,0)),"Kod yok"))</f>
        <v>Depo ve kasa anahtarları yetkili kişide</v>
      </c>
      <c r="E110" s="19" t="str">
        <f aca="false">IF($B110="","",IFERROR(INDEX(Madde_Listesi!$D:$D,MATCH($B110,Madde_Listesi!$B:$B,0)),"Kod yok"))</f>
        <v>Güvenlik</v>
      </c>
      <c r="F110" s="19" t="str">
        <f aca="false">IF($B110="","",IFERROR(INDEX(Madde_Listesi!$E:$E,MATCH($B110,Madde_Listesi!$B:$B,0)),"Kod yok"))</f>
        <v>Major</v>
      </c>
      <c r="G110" s="19" t="str">
        <f aca="false">IF($B110="","",IFERROR(INDEX(Madde_Listesi!$F:$F,MATCH($B110,Madde_Listesi!$B:$B,0)),"Kod yok"))</f>
        <v>Mağaza güvenliği</v>
      </c>
      <c r="H110" s="19" t="str">
        <f aca="false">IF($A110="","",IFERROR(INDEX(Denetimler!$C:$C,MATCH($A110,Denetimler!$A:$A,0)),"No yok"))</f>
        <v>Mağaza D</v>
      </c>
      <c r="I110" s="19" t="str">
        <f aca="false">IF($A110="","",IFERROR(INDEX(Denetimler!$D:$D,MATCH($A110,Denetimler!$A:$A,0)),"No yok"))</f>
        <v>PAP</v>
      </c>
      <c r="J110" s="19" t="str">
        <f aca="false">IF($A110="","",IFERROR(INDEX(Denetimler!$E:$E,MATCH($A110,Denetimler!$A:$A,0)),"No yok"))</f>
        <v>İç denetim</v>
      </c>
      <c r="K110" s="25" t="n">
        <f aca="false">IF($A110="","",IFERROR(INDEX(Denetimler!$B:$B,MATCH($A110,Denetimler!$A:$A,0)),"No yok"))</f>
        <v>46135</v>
      </c>
    </row>
    <row r="111" customFormat="false" ht="15" hidden="false" customHeight="false" outlineLevel="0" collapsed="false">
      <c r="A111" s="24" t="s">
        <v>149</v>
      </c>
      <c r="B111" s="24" t="s">
        <v>222</v>
      </c>
      <c r="C111" s="24" t="s">
        <v>206</v>
      </c>
      <c r="D111" s="19" t="str">
        <f aca="false">IF($B111="","",IFERROR(INDEX(Madde_Listesi!$C:$C,MATCH($B111,Madde_Listesi!$B:$B,0)),"Kod yok"))</f>
        <v>Çalışan takı ve kişisel hijyen kurallarına uyuyor</v>
      </c>
      <c r="E111" s="19" t="str">
        <f aca="false">IF($B111="","",IFERROR(INDEX(Madde_Listesi!$D:$D,MATCH($B111,Madde_Listesi!$B:$B,0)),"Kod yok"))</f>
        <v>Partner</v>
      </c>
      <c r="F111" s="19" t="str">
        <f aca="false">IF($B111="","",IFERROR(INDEX(Madde_Listesi!$E:$E,MATCH($B111,Madde_Listesi!$B:$B,0)),"Kod yok"))</f>
        <v>Major</v>
      </c>
      <c r="G111" s="19" t="str">
        <f aca="false">IF($B111="","",IFERROR(INDEX(Madde_Listesi!$F:$F,MATCH($B111,Madde_Listesi!$B:$B,0)),"Kod yok"))</f>
        <v>Kişisel hijyen</v>
      </c>
      <c r="H111" s="19" t="str">
        <f aca="false">IF($A111="","",IFERROR(INDEX(Denetimler!$C:$C,MATCH($A111,Denetimler!$A:$A,0)),"No yok"))</f>
        <v>Mağaza D</v>
      </c>
      <c r="I111" s="19" t="str">
        <f aca="false">IF($A111="","",IFERROR(INDEX(Denetimler!$D:$D,MATCH($A111,Denetimler!$A:$A,0)),"No yok"))</f>
        <v>RSA</v>
      </c>
      <c r="J111" s="19" t="str">
        <f aca="false">IF($A111="","",IFERROR(INDEX(Denetimler!$E:$E,MATCH($A111,Denetimler!$A:$A,0)),"No yok"))</f>
        <v>İç denetim</v>
      </c>
      <c r="K111" s="25" t="n">
        <f aca="false">IF($A111="","",IFERROR(INDEX(Denetimler!$B:$B,MATCH($A111,Denetimler!$A:$A,0)),"No yok"))</f>
        <v>46131</v>
      </c>
    </row>
    <row r="112" customFormat="false" ht="15" hidden="false" customHeight="false" outlineLevel="0" collapsed="false">
      <c r="A112" s="24" t="s">
        <v>149</v>
      </c>
      <c r="B112" s="24" t="s">
        <v>212</v>
      </c>
      <c r="C112" s="24" t="s">
        <v>206</v>
      </c>
      <c r="D112" s="19" t="str">
        <f aca="false">IF($B112="","",IFERROR(INDEX(Madde_Listesi!$C:$C,MATCH($B112,Madde_Listesi!$B:$B,0)),"Kod yok"))</f>
        <v>Gıdayla temas eden yüzeyler temiz ve dezenfekte</v>
      </c>
      <c r="E112" s="19" t="str">
        <f aca="false">IF($B112="","",IFERROR(INDEX(Madde_Listesi!$D:$D,MATCH($B112,Madde_Listesi!$B:$B,0)),"Kod yok"))</f>
        <v>Bulaşma</v>
      </c>
      <c r="F112" s="19" t="str">
        <f aca="false">IF($B112="","",IFERROR(INDEX(Madde_Listesi!$E:$E,MATCH($B112,Madde_Listesi!$B:$B,0)),"Kod yok"))</f>
        <v>Major</v>
      </c>
      <c r="G112" s="19" t="str">
        <f aca="false">IF($B112="","",IFERROR(INDEX(Madde_Listesi!$F:$F,MATCH($B112,Madde_Listesi!$B:$B,0)),"Kod yok"))</f>
        <v>Temizlik ve dezenfeksiyon</v>
      </c>
      <c r="H112" s="19" t="str">
        <f aca="false">IF($A112="","",IFERROR(INDEX(Denetimler!$C:$C,MATCH($A112,Denetimler!$A:$A,0)),"No yok"))</f>
        <v>Mağaza D</v>
      </c>
      <c r="I112" s="19" t="str">
        <f aca="false">IF($A112="","",IFERROR(INDEX(Denetimler!$D:$D,MATCH($A112,Denetimler!$A:$A,0)),"No yok"))</f>
        <v>RSA</v>
      </c>
      <c r="J112" s="19" t="str">
        <f aca="false">IF($A112="","",IFERROR(INDEX(Denetimler!$E:$E,MATCH($A112,Denetimler!$A:$A,0)),"No yok"))</f>
        <v>İç denetim</v>
      </c>
      <c r="K112" s="25" t="n">
        <f aca="false">IF($A112="","",IFERROR(INDEX(Denetimler!$B:$B,MATCH($A112,Denetimler!$A:$A,0)),"No yok"))</f>
        <v>46131</v>
      </c>
    </row>
    <row r="113" customFormat="false" ht="15" hidden="false" customHeight="false" outlineLevel="0" collapsed="false">
      <c r="A113" s="24" t="s">
        <v>149</v>
      </c>
      <c r="B113" s="24" t="s">
        <v>222</v>
      </c>
      <c r="C113" s="24" t="s">
        <v>206</v>
      </c>
      <c r="D113" s="19" t="str">
        <f aca="false">IF($B113="","",IFERROR(INDEX(Madde_Listesi!$C:$C,MATCH($B113,Madde_Listesi!$B:$B,0)),"Kod yok"))</f>
        <v>Çalışan takı ve kişisel hijyen kurallarına uyuyor</v>
      </c>
      <c r="E113" s="19" t="str">
        <f aca="false">IF($B113="","",IFERROR(INDEX(Madde_Listesi!$D:$D,MATCH($B113,Madde_Listesi!$B:$B,0)),"Kod yok"))</f>
        <v>Partner</v>
      </c>
      <c r="F113" s="19" t="str">
        <f aca="false">IF($B113="","",IFERROR(INDEX(Madde_Listesi!$E:$E,MATCH($B113,Madde_Listesi!$B:$B,0)),"Kod yok"))</f>
        <v>Major</v>
      </c>
      <c r="G113" s="19" t="str">
        <f aca="false">IF($B113="","",IFERROR(INDEX(Madde_Listesi!$F:$F,MATCH($B113,Madde_Listesi!$B:$B,0)),"Kod yok"))</f>
        <v>Kişisel hijyen</v>
      </c>
      <c r="H113" s="19" t="str">
        <f aca="false">IF($A113="","",IFERROR(INDEX(Denetimler!$C:$C,MATCH($A113,Denetimler!$A:$A,0)),"No yok"))</f>
        <v>Mağaza D</v>
      </c>
      <c r="I113" s="19" t="str">
        <f aca="false">IF($A113="","",IFERROR(INDEX(Denetimler!$D:$D,MATCH($A113,Denetimler!$A:$A,0)),"No yok"))</f>
        <v>RSA</v>
      </c>
      <c r="J113" s="19" t="str">
        <f aca="false">IF($A113="","",IFERROR(INDEX(Denetimler!$E:$E,MATCH($A113,Denetimler!$A:$A,0)),"No yok"))</f>
        <v>İç denetim</v>
      </c>
      <c r="K113" s="25" t="n">
        <f aca="false">IF($A113="","",IFERROR(INDEX(Denetimler!$B:$B,MATCH($A113,Denetimler!$A:$A,0)),"No yok"))</f>
        <v>46131</v>
      </c>
    </row>
    <row r="114" customFormat="false" ht="15" hidden="false" customHeight="false" outlineLevel="0" collapsed="false">
      <c r="A114" s="24" t="s">
        <v>175</v>
      </c>
      <c r="B114" s="24" t="s">
        <v>220</v>
      </c>
      <c r="C114" s="24" t="s">
        <v>206</v>
      </c>
      <c r="D114" s="19" t="str">
        <f aca="false">IF($B114="","",IFERROR(INDEX(Madde_Listesi!$C:$C,MATCH($B114,Madde_Listesi!$B:$B,0)),"Kod yok"))</f>
        <v>Zorunlu eğitimler tamamlanmış</v>
      </c>
      <c r="E114" s="19" t="str">
        <f aca="false">IF($B114="","",IFERROR(INDEX(Madde_Listesi!$D:$D,MATCH($B114,Madde_Listesi!$B:$B,0)),"Kod yok"))</f>
        <v>Ekip</v>
      </c>
      <c r="F114" s="19" t="str">
        <f aca="false">IF($B114="","",IFERROR(INDEX(Madde_Listesi!$E:$E,MATCH($B114,Madde_Listesi!$B:$B,0)),"Kod yok"))</f>
        <v>Major</v>
      </c>
      <c r="G114" s="19" t="str">
        <f aca="false">IF($B114="","",IFERROR(INDEX(Madde_Listesi!$F:$F,MATCH($B114,Madde_Listesi!$B:$B,0)),"Kod yok"))</f>
        <v>Eğitim takibi</v>
      </c>
      <c r="H114" s="19" t="str">
        <f aca="false">IF($A114="","",IFERROR(INDEX(Denetimler!$C:$C,MATCH($A114,Denetimler!$A:$A,0)),"No yok"))</f>
        <v>Mağaza E</v>
      </c>
      <c r="I114" s="19" t="str">
        <f aca="false">IF($A114="","",IFERROR(INDEX(Denetimler!$D:$D,MATCH($A114,Denetimler!$A:$A,0)),"No yok"))</f>
        <v>ASA</v>
      </c>
      <c r="J114" s="19" t="str">
        <f aca="false">IF($A114="","",IFERROR(INDEX(Denetimler!$E:$E,MATCH($A114,Denetimler!$A:$A,0)),"No yok"))</f>
        <v>İç denetim</v>
      </c>
      <c r="K114" s="25" t="n">
        <f aca="false">IF($A114="","",IFERROR(INDEX(Denetimler!$B:$B,MATCH($A114,Denetimler!$A:$A,0)),"No yok"))</f>
        <v>46172</v>
      </c>
    </row>
    <row r="115" customFormat="false" ht="15" hidden="false" customHeight="false" outlineLevel="0" collapsed="false">
      <c r="A115" s="24" t="s">
        <v>176</v>
      </c>
      <c r="B115" s="24" t="s">
        <v>226</v>
      </c>
      <c r="C115" s="24" t="s">
        <v>206</v>
      </c>
      <c r="D115" s="19" t="str">
        <f aca="false">IF($B115="","",IFERROR(INDEX(Madde_Listesi!$C:$C,MATCH($B115,Madde_Listesi!$B:$B,0)),"Kod yok"))</f>
        <v>Kasa farkları kayıt altına alınmış ve açıklanmış</v>
      </c>
      <c r="E115" s="19" t="str">
        <f aca="false">IF($B115="","",IFERROR(INDEX(Madde_Listesi!$D:$D,MATCH($B115,Madde_Listesi!$B:$B,0)),"Kod yok"))</f>
        <v>Nakit</v>
      </c>
      <c r="F115" s="19" t="str">
        <f aca="false">IF($B115="","",IFERROR(INDEX(Madde_Listesi!$E:$E,MATCH($B115,Madde_Listesi!$B:$B,0)),"Kod yok"))</f>
        <v>Kritik</v>
      </c>
      <c r="G115" s="19" t="str">
        <f aca="false">IF($B115="","",IFERROR(INDEX(Madde_Listesi!$F:$F,MATCH($B115,Madde_Listesi!$B:$B,0)),"Kod yok"))</f>
        <v>Kasa prosedürleri</v>
      </c>
      <c r="H115" s="19" t="str">
        <f aca="false">IF($A115="","",IFERROR(INDEX(Denetimler!$C:$C,MATCH($A115,Denetimler!$A:$A,0)),"No yok"))</f>
        <v>Mağaza E</v>
      </c>
      <c r="I115" s="19" t="str">
        <f aca="false">IF($A115="","",IFERROR(INDEX(Denetimler!$D:$D,MATCH($A115,Denetimler!$A:$A,0)),"No yok"))</f>
        <v>PAP</v>
      </c>
      <c r="J115" s="19" t="str">
        <f aca="false">IF($A115="","",IFERROR(INDEX(Denetimler!$E:$E,MATCH($A115,Denetimler!$A:$A,0)),"No yok"))</f>
        <v>İç denetim</v>
      </c>
      <c r="K115" s="25" t="n">
        <f aca="false">IF($A115="","",IFERROR(INDEX(Denetimler!$B:$B,MATCH($A115,Denetimler!$A:$A,0)),"No yok"))</f>
        <v>46172</v>
      </c>
    </row>
    <row r="116" customFormat="false" ht="15" hidden="false" customHeight="false" outlineLevel="0" collapsed="false">
      <c r="A116" s="24" t="s">
        <v>174</v>
      </c>
      <c r="B116" s="24" t="s">
        <v>214</v>
      </c>
      <c r="C116" s="24" t="s">
        <v>206</v>
      </c>
      <c r="D116" s="19" t="str">
        <f aca="false">IF($B116="","",IFERROR(INDEX(Madde_Listesi!$C:$C,MATCH($B116,Madde_Listesi!$B:$B,0)),"Kod yok"))</f>
        <v>Sıcaklık kayıtları tam ve zamanında tutulmuş</v>
      </c>
      <c r="E116" s="19" t="str">
        <f aca="false">IF($B116="","",IFERROR(INDEX(Madde_Listesi!$D:$D,MATCH($B116,Madde_Listesi!$B:$B,0)),"Kod yok"))</f>
        <v>Sıcaklık</v>
      </c>
      <c r="F116" s="19" t="str">
        <f aca="false">IF($B116="","",IFERROR(INDEX(Madde_Listesi!$E:$E,MATCH($B116,Madde_Listesi!$B:$B,0)),"Kod yok"))</f>
        <v>Major</v>
      </c>
      <c r="G116" s="19" t="str">
        <f aca="false">IF($B116="","",IFERROR(INDEX(Madde_Listesi!$F:$F,MATCH($B116,Madde_Listesi!$B:$B,0)),"Kod yok"))</f>
        <v>Soğuk zincir ve sıcaklık kontrolü</v>
      </c>
      <c r="H116" s="19" t="str">
        <f aca="false">IF($A116="","",IFERROR(INDEX(Denetimler!$C:$C,MATCH($A116,Denetimler!$A:$A,0)),"No yok"))</f>
        <v>Mağaza E</v>
      </c>
      <c r="I116" s="19" t="str">
        <f aca="false">IF($A116="","",IFERROR(INDEX(Denetimler!$D:$D,MATCH($A116,Denetimler!$A:$A,0)),"No yok"))</f>
        <v>RSA</v>
      </c>
      <c r="J116" s="19" t="str">
        <f aca="false">IF($A116="","",IFERROR(INDEX(Denetimler!$E:$E,MATCH($A116,Denetimler!$A:$A,0)),"No yok"))</f>
        <v>İç denetim</v>
      </c>
      <c r="K116" s="25" t="n">
        <f aca="false">IF($A116="","",IFERROR(INDEX(Denetimler!$B:$B,MATCH($A116,Denetimler!$A:$A,0)),"No yok"))</f>
        <v>46171</v>
      </c>
    </row>
    <row r="117" customFormat="false" ht="15" hidden="false" customHeight="false" outlineLevel="0" collapsed="false">
      <c r="A117" s="24" t="s">
        <v>165</v>
      </c>
      <c r="B117" s="24" t="s">
        <v>207</v>
      </c>
      <c r="C117" s="24" t="s">
        <v>206</v>
      </c>
      <c r="D117" s="19" t="str">
        <f aca="false">IF($B117="","",IFERROR(INDEX(Madde_Listesi!$C:$C,MATCH($B117,Madde_Listesi!$B:$B,0)),"Kod yok"))</f>
        <v>Vardiya planı yoğunluğa uygun hazırlanmış</v>
      </c>
      <c r="E117" s="19" t="str">
        <f aca="false">IF($B117="","",IFERROR(INDEX(Madde_Listesi!$D:$D,MATCH($B117,Madde_Listesi!$B:$B,0)),"Kod yok"))</f>
        <v>Operasyon</v>
      </c>
      <c r="F117" s="19" t="str">
        <f aca="false">IF($B117="","",IFERROR(INDEX(Madde_Listesi!$E:$E,MATCH($B117,Madde_Listesi!$B:$B,0)),"Kod yok"))</f>
        <v>Major</v>
      </c>
      <c r="G117" s="19" t="str">
        <f aca="false">IF($B117="","",IFERROR(INDEX(Madde_Listesi!$F:$F,MATCH($B117,Madde_Listesi!$B:$B,0)),"Kod yok"))</f>
        <v>Vardiya planlama</v>
      </c>
      <c r="H117" s="19" t="str">
        <f aca="false">IF($A117="","",IFERROR(INDEX(Denetimler!$C:$C,MATCH($A117,Denetimler!$A:$A,0)),"No yok"))</f>
        <v>Mağaza F</v>
      </c>
      <c r="I117" s="19" t="str">
        <f aca="false">IF($A117="","",IFERROR(INDEX(Denetimler!$D:$D,MATCH($A117,Denetimler!$A:$A,0)),"No yok"))</f>
        <v>ASA</v>
      </c>
      <c r="J117" s="19" t="str">
        <f aca="false">IF($A117="","",IFERROR(INDEX(Denetimler!$E:$E,MATCH($A117,Denetimler!$A:$A,0)),"No yok"))</f>
        <v>İç denetim</v>
      </c>
      <c r="K117" s="25" t="n">
        <f aca="false">IF($A117="","",IFERROR(INDEX(Denetimler!$B:$B,MATCH($A117,Denetimler!$A:$A,0)),"No yok"))</f>
        <v>46157</v>
      </c>
    </row>
    <row r="118" customFormat="false" ht="15" hidden="false" customHeight="false" outlineLevel="0" collapsed="false">
      <c r="A118" s="24" t="s">
        <v>156</v>
      </c>
      <c r="B118" s="24" t="s">
        <v>226</v>
      </c>
      <c r="C118" s="24" t="s">
        <v>206</v>
      </c>
      <c r="D118" s="19" t="str">
        <f aca="false">IF($B118="","",IFERROR(INDEX(Madde_Listesi!$C:$C,MATCH($B118,Madde_Listesi!$B:$B,0)),"Kod yok"))</f>
        <v>Kasa farkları kayıt altına alınmış ve açıklanmış</v>
      </c>
      <c r="E118" s="19" t="str">
        <f aca="false">IF($B118="","",IFERROR(INDEX(Madde_Listesi!$D:$D,MATCH($B118,Madde_Listesi!$B:$B,0)),"Kod yok"))</f>
        <v>Nakit</v>
      </c>
      <c r="F118" s="19" t="str">
        <f aca="false">IF($B118="","",IFERROR(INDEX(Madde_Listesi!$E:$E,MATCH($B118,Madde_Listesi!$B:$B,0)),"Kod yok"))</f>
        <v>Kritik</v>
      </c>
      <c r="G118" s="19" t="str">
        <f aca="false">IF($B118="","",IFERROR(INDEX(Madde_Listesi!$F:$F,MATCH($B118,Madde_Listesi!$B:$B,0)),"Kod yok"))</f>
        <v>Kasa prosedürleri</v>
      </c>
      <c r="H118" s="19" t="str">
        <f aca="false">IF($A118="","",IFERROR(INDEX(Denetimler!$C:$C,MATCH($A118,Denetimler!$A:$A,0)),"No yok"))</f>
        <v>Mağaza F</v>
      </c>
      <c r="I118" s="19" t="str">
        <f aca="false">IF($A118="","",IFERROR(INDEX(Denetimler!$D:$D,MATCH($A118,Denetimler!$A:$A,0)),"No yok"))</f>
        <v>PAP</v>
      </c>
      <c r="J118" s="19" t="str">
        <f aca="false">IF($A118="","",IFERROR(INDEX(Denetimler!$E:$E,MATCH($A118,Denetimler!$A:$A,0)),"No yok"))</f>
        <v>İç denetim</v>
      </c>
      <c r="K118" s="25" t="n">
        <f aca="false">IF($A118="","",IFERROR(INDEX(Denetimler!$B:$B,MATCH($A118,Denetimler!$A:$A,0)),"No yok"))</f>
        <v>46140</v>
      </c>
    </row>
    <row r="119" customFormat="false" ht="15" hidden="false" customHeight="false" outlineLevel="0" collapsed="false">
      <c r="A119" s="24" t="s">
        <v>156</v>
      </c>
      <c r="B119" s="24" t="s">
        <v>217</v>
      </c>
      <c r="C119" s="24" t="s">
        <v>206</v>
      </c>
      <c r="D119" s="19" t="str">
        <f aca="false">IF($B119="","",IFERROR(INDEX(Madde_Listesi!$C:$C,MATCH($B119,Madde_Listesi!$B:$B,0)),"Kod yok"))</f>
        <v>Kamera kayıtları erişilebilir ve süresi uygun</v>
      </c>
      <c r="E119" s="19" t="str">
        <f aca="false">IF($B119="","",IFERROR(INDEX(Madde_Listesi!$D:$D,MATCH($B119,Madde_Listesi!$B:$B,0)),"Kod yok"))</f>
        <v>Güvenlik</v>
      </c>
      <c r="F119" s="19" t="str">
        <f aca="false">IF($B119="","",IFERROR(INDEX(Madde_Listesi!$E:$E,MATCH($B119,Madde_Listesi!$B:$B,0)),"Kod yok"))</f>
        <v>Minör</v>
      </c>
      <c r="G119" s="19" t="str">
        <f aca="false">IF($B119="","",IFERROR(INDEX(Madde_Listesi!$F:$F,MATCH($B119,Madde_Listesi!$B:$B,0)),"Kod yok"))</f>
        <v>Mağaza güvenliği</v>
      </c>
      <c r="H119" s="19" t="str">
        <f aca="false">IF($A119="","",IFERROR(INDEX(Denetimler!$C:$C,MATCH($A119,Denetimler!$A:$A,0)),"No yok"))</f>
        <v>Mağaza F</v>
      </c>
      <c r="I119" s="19" t="str">
        <f aca="false">IF($A119="","",IFERROR(INDEX(Denetimler!$D:$D,MATCH($A119,Denetimler!$A:$A,0)),"No yok"))</f>
        <v>PAP</v>
      </c>
      <c r="J119" s="19" t="str">
        <f aca="false">IF($A119="","",IFERROR(INDEX(Denetimler!$E:$E,MATCH($A119,Denetimler!$A:$A,0)),"No yok"))</f>
        <v>İç denetim</v>
      </c>
      <c r="K119" s="25" t="n">
        <f aca="false">IF($A119="","",IFERROR(INDEX(Denetimler!$B:$B,MATCH($A119,Denetimler!$A:$A,0)),"No yok"))</f>
        <v>46140</v>
      </c>
    </row>
    <row r="120" customFormat="false" ht="15" hidden="false" customHeight="false" outlineLevel="0" collapsed="false">
      <c r="A120" s="24" t="s">
        <v>156</v>
      </c>
      <c r="B120" s="24" t="s">
        <v>224</v>
      </c>
      <c r="C120" s="24" t="s">
        <v>206</v>
      </c>
      <c r="D120" s="19" t="str">
        <f aca="false">IF($B120="","",IFERROR(INDEX(Madde_Listesi!$C:$C,MATCH($B120,Madde_Listesi!$B:$B,0)),"Kod yok"))</f>
        <v>İptal ve iade işlemleri yönetici onaylı</v>
      </c>
      <c r="E120" s="19" t="str">
        <f aca="false">IF($B120="","",IFERROR(INDEX(Madde_Listesi!$D:$D,MATCH($B120,Madde_Listesi!$B:$B,0)),"Kod yok"))</f>
        <v>İşlem</v>
      </c>
      <c r="F120" s="19" t="str">
        <f aca="false">IF($B120="","",IFERROR(INDEX(Madde_Listesi!$E:$E,MATCH($B120,Madde_Listesi!$B:$B,0)),"Kod yok"))</f>
        <v>Major</v>
      </c>
      <c r="G120" s="19" t="str">
        <f aca="false">IF($B120="","",IFERROR(INDEX(Madde_Listesi!$F:$F,MATCH($B120,Madde_Listesi!$B:$B,0)),"Kod yok"))</f>
        <v>İptal ve iade süreçleri</v>
      </c>
      <c r="H120" s="19" t="str">
        <f aca="false">IF($A120="","",IFERROR(INDEX(Denetimler!$C:$C,MATCH($A120,Denetimler!$A:$A,0)),"No yok"))</f>
        <v>Mağaza F</v>
      </c>
      <c r="I120" s="19" t="str">
        <f aca="false">IF($A120="","",IFERROR(INDEX(Denetimler!$D:$D,MATCH($A120,Denetimler!$A:$A,0)),"No yok"))</f>
        <v>PAP</v>
      </c>
      <c r="J120" s="19" t="str">
        <f aca="false">IF($A120="","",IFERROR(INDEX(Denetimler!$E:$E,MATCH($A120,Denetimler!$A:$A,0)),"No yok"))</f>
        <v>İç denetim</v>
      </c>
      <c r="K120" s="25" t="n">
        <f aca="false">IF($A120="","",IFERROR(INDEX(Denetimler!$B:$B,MATCH($A120,Denetimler!$A:$A,0)),"No yok"))</f>
        <v>46140</v>
      </c>
    </row>
    <row r="121" customFormat="false" ht="15" hidden="false" customHeight="false" outlineLevel="0" collapsed="false">
      <c r="A121" s="24" t="s">
        <v>154</v>
      </c>
      <c r="B121" s="24" t="s">
        <v>214</v>
      </c>
      <c r="C121" s="24" t="s">
        <v>206</v>
      </c>
      <c r="D121" s="19" t="str">
        <f aca="false">IF($B121="","",IFERROR(INDEX(Madde_Listesi!$C:$C,MATCH($B121,Madde_Listesi!$B:$B,0)),"Kod yok"))</f>
        <v>Sıcaklık kayıtları tam ve zamanında tutulmuş</v>
      </c>
      <c r="E121" s="19" t="str">
        <f aca="false">IF($B121="","",IFERROR(INDEX(Madde_Listesi!$D:$D,MATCH($B121,Madde_Listesi!$B:$B,0)),"Kod yok"))</f>
        <v>Sıcaklık</v>
      </c>
      <c r="F121" s="19" t="str">
        <f aca="false">IF($B121="","",IFERROR(INDEX(Madde_Listesi!$E:$E,MATCH($B121,Madde_Listesi!$B:$B,0)),"Kod yok"))</f>
        <v>Major</v>
      </c>
      <c r="G121" s="19" t="str">
        <f aca="false">IF($B121="","",IFERROR(INDEX(Madde_Listesi!$F:$F,MATCH($B121,Madde_Listesi!$B:$B,0)),"Kod yok"))</f>
        <v>Soğuk zincir ve sıcaklık kontrolü</v>
      </c>
      <c r="H121" s="19" t="str">
        <f aca="false">IF($A121="","",IFERROR(INDEX(Denetimler!$C:$C,MATCH($A121,Denetimler!$A:$A,0)),"No yok"))</f>
        <v>Mağaza F</v>
      </c>
      <c r="I121" s="19" t="str">
        <f aca="false">IF($A121="","",IFERROR(INDEX(Denetimler!$D:$D,MATCH($A121,Denetimler!$A:$A,0)),"No yok"))</f>
        <v>RSA</v>
      </c>
      <c r="J121" s="19" t="str">
        <f aca="false">IF($A121="","",IFERROR(INDEX(Denetimler!$E:$E,MATCH($A121,Denetimler!$A:$A,0)),"No yok"))</f>
        <v>İç denetim</v>
      </c>
      <c r="K121" s="25" t="n">
        <f aca="false">IF($A121="","",IFERROR(INDEX(Denetimler!$B:$B,MATCH($A121,Denetimler!$A:$A,0)),"No yok"))</f>
        <v>46137</v>
      </c>
    </row>
    <row r="122" customFormat="false" ht="15" hidden="false" customHeight="false" outlineLevel="0" collapsed="false">
      <c r="A122" s="24" t="s">
        <v>154</v>
      </c>
      <c r="B122" s="24" t="s">
        <v>210</v>
      </c>
      <c r="C122" s="24" t="s">
        <v>206</v>
      </c>
      <c r="D122" s="19" t="str">
        <f aca="false">IF($B122="","",IFERROR(INDEX(Madde_Listesi!$C:$C,MATCH($B122,Madde_Listesi!$B:$B,0)),"Kod yok"))</f>
        <v>Kimyasallar etiketli ve gıdadan ayrı saklanıyor</v>
      </c>
      <c r="E122" s="19" t="str">
        <f aca="false">IF($B122="","",IFERROR(INDEX(Madde_Listesi!$D:$D,MATCH($B122,Madde_Listesi!$B:$B,0)),"Kod yok"))</f>
        <v>Bulaşma</v>
      </c>
      <c r="F122" s="19" t="str">
        <f aca="false">IF($B122="","",IFERROR(INDEX(Madde_Listesi!$E:$E,MATCH($B122,Madde_Listesi!$B:$B,0)),"Kod yok"))</f>
        <v>Major</v>
      </c>
      <c r="G122" s="19" t="str">
        <f aca="false">IF($B122="","",IFERROR(INDEX(Madde_Listesi!$F:$F,MATCH($B122,Madde_Listesi!$B:$B,0)),"Kod yok"))</f>
        <v>Kimyasal güvenliği</v>
      </c>
      <c r="H122" s="19" t="str">
        <f aca="false">IF($A122="","",IFERROR(INDEX(Denetimler!$C:$C,MATCH($A122,Denetimler!$A:$A,0)),"No yok"))</f>
        <v>Mağaza F</v>
      </c>
      <c r="I122" s="19" t="str">
        <f aca="false">IF($A122="","",IFERROR(INDEX(Denetimler!$D:$D,MATCH($A122,Denetimler!$A:$A,0)),"No yok"))</f>
        <v>RSA</v>
      </c>
      <c r="J122" s="19" t="str">
        <f aca="false">IF($A122="","",IFERROR(INDEX(Denetimler!$E:$E,MATCH($A122,Denetimler!$A:$A,0)),"No yok"))</f>
        <v>İç denetim</v>
      </c>
      <c r="K122" s="25" t="n">
        <f aca="false">IF($A122="","",IFERROR(INDEX(Denetimler!$B:$B,MATCH($A122,Denetimler!$A:$A,0)),"No yok"))</f>
        <v>46137</v>
      </c>
    </row>
    <row r="123" customFormat="false" ht="15" hidden="false" customHeight="false" outlineLevel="0" collapsed="false">
      <c r="A123" s="24" t="s">
        <v>154</v>
      </c>
      <c r="B123" s="24" t="s">
        <v>214</v>
      </c>
      <c r="C123" s="24" t="s">
        <v>206</v>
      </c>
      <c r="D123" s="19" t="str">
        <f aca="false">IF($B123="","",IFERROR(INDEX(Madde_Listesi!$C:$C,MATCH($B123,Madde_Listesi!$B:$B,0)),"Kod yok"))</f>
        <v>Sıcaklık kayıtları tam ve zamanında tutulmuş</v>
      </c>
      <c r="E123" s="19" t="str">
        <f aca="false">IF($B123="","",IFERROR(INDEX(Madde_Listesi!$D:$D,MATCH($B123,Madde_Listesi!$B:$B,0)),"Kod yok"))</f>
        <v>Sıcaklık</v>
      </c>
      <c r="F123" s="19" t="str">
        <f aca="false">IF($B123="","",IFERROR(INDEX(Madde_Listesi!$E:$E,MATCH($B123,Madde_Listesi!$B:$B,0)),"Kod yok"))</f>
        <v>Major</v>
      </c>
      <c r="G123" s="19" t="str">
        <f aca="false">IF($B123="","",IFERROR(INDEX(Madde_Listesi!$F:$F,MATCH($B123,Madde_Listesi!$B:$B,0)),"Kod yok"))</f>
        <v>Soğuk zincir ve sıcaklık kontrolü</v>
      </c>
      <c r="H123" s="19" t="str">
        <f aca="false">IF($A123="","",IFERROR(INDEX(Denetimler!$C:$C,MATCH($A123,Denetimler!$A:$A,0)),"No yok"))</f>
        <v>Mağaza F</v>
      </c>
      <c r="I123" s="19" t="str">
        <f aca="false">IF($A123="","",IFERROR(INDEX(Denetimler!$D:$D,MATCH($A123,Denetimler!$A:$A,0)),"No yok"))</f>
        <v>RSA</v>
      </c>
      <c r="J123" s="19" t="str">
        <f aca="false">IF($A123="","",IFERROR(INDEX(Denetimler!$E:$E,MATCH($A123,Denetimler!$A:$A,0)),"No yok"))</f>
        <v>İç denetim</v>
      </c>
      <c r="K123" s="25" t="n">
        <f aca="false">IF($A123="","",IFERROR(INDEX(Denetimler!$B:$B,MATCH($A123,Denetimler!$A:$A,0)),"No yok"))</f>
        <v>46137</v>
      </c>
    </row>
    <row r="124" customFormat="false" ht="15" hidden="false" customHeight="false" outlineLevel="0" collapsed="false">
      <c r="A124" s="24" t="s">
        <v>154</v>
      </c>
      <c r="B124" s="24" t="s">
        <v>223</v>
      </c>
      <c r="C124" s="24" t="s">
        <v>206</v>
      </c>
      <c r="D124" s="19" t="str">
        <f aca="false">IF($B124="","",IFERROR(INDEX(Madde_Listesi!$C:$C,MATCH($B124,Madde_Listesi!$B:$B,0)),"Kod yok"))</f>
        <v>Ürünlerin son kullanma tarihleri geçerli ve etiketli</v>
      </c>
      <c r="E124" s="19" t="str">
        <f aca="false">IF($B124="","",IFERROR(INDEX(Madde_Listesi!$D:$D,MATCH($B124,Madde_Listesi!$B:$B,0)),"Kod yok"))</f>
        <v>Bulaşma</v>
      </c>
      <c r="F124" s="19" t="str">
        <f aca="false">IF($B124="","",IFERROR(INDEX(Madde_Listesi!$E:$E,MATCH($B124,Madde_Listesi!$B:$B,0)),"Kod yok"))</f>
        <v>Kritik</v>
      </c>
      <c r="G124" s="19" t="str">
        <f aca="false">IF($B124="","",IFERROR(INDEX(Madde_Listesi!$F:$F,MATCH($B124,Madde_Listesi!$B:$B,0)),"Kod yok"))</f>
        <v>Ürün tarihleme ve etiketleme</v>
      </c>
      <c r="H124" s="19" t="str">
        <f aca="false">IF($A124="","",IFERROR(INDEX(Denetimler!$C:$C,MATCH($A124,Denetimler!$A:$A,0)),"No yok"))</f>
        <v>Mağaza F</v>
      </c>
      <c r="I124" s="19" t="str">
        <f aca="false">IF($A124="","",IFERROR(INDEX(Denetimler!$D:$D,MATCH($A124,Denetimler!$A:$A,0)),"No yok"))</f>
        <v>RSA</v>
      </c>
      <c r="J124" s="19" t="str">
        <f aca="false">IF($A124="","",IFERROR(INDEX(Denetimler!$E:$E,MATCH($A124,Denetimler!$A:$A,0)),"No yok"))</f>
        <v>İç denetim</v>
      </c>
      <c r="K124" s="25" t="n">
        <f aca="false">IF($A124="","",IFERROR(INDEX(Denetimler!$B:$B,MATCH($A124,Denetimler!$A:$A,0)),"No yok"))</f>
        <v>46137</v>
      </c>
    </row>
    <row r="125" customFormat="false" ht="15" hidden="false" customHeight="false" outlineLevel="0" collapsed="false">
      <c r="A125" s="24" t="s">
        <v>170</v>
      </c>
      <c r="B125" s="24" t="s">
        <v>205</v>
      </c>
      <c r="C125" s="24" t="s">
        <v>206</v>
      </c>
      <c r="D125" s="19" t="str">
        <f aca="false">IF($B125="","",IFERROR(INDEX(Madde_Listesi!$C:$C,MATCH($B125,Madde_Listesi!$B:$B,0)),"Kod yok"))</f>
        <v>Stok sayımı ve sipariş kayıtları tutarlı</v>
      </c>
      <c r="E125" s="19" t="str">
        <f aca="false">IF($B125="","",IFERROR(INDEX(Madde_Listesi!$D:$D,MATCH($B125,Madde_Listesi!$B:$B,0)),"Kod yok"))</f>
        <v>Stok</v>
      </c>
      <c r="F125" s="19" t="str">
        <f aca="false">IF($B125="","",IFERROR(INDEX(Madde_Listesi!$E:$E,MATCH($B125,Madde_Listesi!$B:$B,0)),"Kod yok"))</f>
        <v>Major</v>
      </c>
      <c r="G125" s="19" t="str">
        <f aca="false">IF($B125="","",IFERROR(INDEX(Madde_Listesi!$F:$F,MATCH($B125,Madde_Listesi!$B:$B,0)),"Kod yok"))</f>
        <v>Stok ve sipariş yönetimi</v>
      </c>
      <c r="H125" s="19" t="str">
        <f aca="false">IF($A125="","",IFERROR(INDEX(Denetimler!$C:$C,MATCH($A125,Denetimler!$A:$A,0)),"No yok"))</f>
        <v>Mağaza G</v>
      </c>
      <c r="I125" s="19" t="str">
        <f aca="false">IF($A125="","",IFERROR(INDEX(Denetimler!$D:$D,MATCH($A125,Denetimler!$A:$A,0)),"No yok"))</f>
        <v>ASA</v>
      </c>
      <c r="J125" s="19" t="str">
        <f aca="false">IF($A125="","",IFERROR(INDEX(Denetimler!$E:$E,MATCH($A125,Denetimler!$A:$A,0)),"No yok"))</f>
        <v>İç denetim</v>
      </c>
      <c r="K125" s="25" t="n">
        <f aca="false">IF($A125="","",IFERROR(INDEX(Denetimler!$B:$B,MATCH($A125,Denetimler!$A:$A,0)),"No yok"))</f>
        <v>46161</v>
      </c>
    </row>
    <row r="126" customFormat="false" ht="15" hidden="false" customHeight="false" outlineLevel="0" collapsed="false">
      <c r="A126" s="24" t="s">
        <v>170</v>
      </c>
      <c r="B126" s="24" t="s">
        <v>205</v>
      </c>
      <c r="C126" s="24" t="s">
        <v>206</v>
      </c>
      <c r="D126" s="19" t="str">
        <f aca="false">IF($B126="","",IFERROR(INDEX(Madde_Listesi!$C:$C,MATCH($B126,Madde_Listesi!$B:$B,0)),"Kod yok"))</f>
        <v>Stok sayımı ve sipariş kayıtları tutarlı</v>
      </c>
      <c r="E126" s="19" t="str">
        <f aca="false">IF($B126="","",IFERROR(INDEX(Madde_Listesi!$D:$D,MATCH($B126,Madde_Listesi!$B:$B,0)),"Kod yok"))</f>
        <v>Stok</v>
      </c>
      <c r="F126" s="19" t="str">
        <f aca="false">IF($B126="","",IFERROR(INDEX(Madde_Listesi!$E:$E,MATCH($B126,Madde_Listesi!$B:$B,0)),"Kod yok"))</f>
        <v>Major</v>
      </c>
      <c r="G126" s="19" t="str">
        <f aca="false">IF($B126="","",IFERROR(INDEX(Madde_Listesi!$F:$F,MATCH($B126,Madde_Listesi!$B:$B,0)),"Kod yok"))</f>
        <v>Stok ve sipariş yönetimi</v>
      </c>
      <c r="H126" s="19" t="str">
        <f aca="false">IF($A126="","",IFERROR(INDEX(Denetimler!$C:$C,MATCH($A126,Denetimler!$A:$A,0)),"No yok"))</f>
        <v>Mağaza G</v>
      </c>
      <c r="I126" s="19" t="str">
        <f aca="false">IF($A126="","",IFERROR(INDEX(Denetimler!$D:$D,MATCH($A126,Denetimler!$A:$A,0)),"No yok"))</f>
        <v>ASA</v>
      </c>
      <c r="J126" s="19" t="str">
        <f aca="false">IF($A126="","",IFERROR(INDEX(Denetimler!$E:$E,MATCH($A126,Denetimler!$A:$A,0)),"No yok"))</f>
        <v>İç denetim</v>
      </c>
      <c r="K126" s="25" t="n">
        <f aca="false">IF($A126="","",IFERROR(INDEX(Denetimler!$B:$B,MATCH($A126,Denetimler!$A:$A,0)),"No yok"))</f>
        <v>46161</v>
      </c>
    </row>
    <row r="127" customFormat="false" ht="15" hidden="false" customHeight="false" outlineLevel="0" collapsed="false">
      <c r="A127" s="24" t="s">
        <v>170</v>
      </c>
      <c r="B127" s="24" t="s">
        <v>220</v>
      </c>
      <c r="C127" s="24" t="s">
        <v>206</v>
      </c>
      <c r="D127" s="19" t="str">
        <f aca="false">IF($B127="","",IFERROR(INDEX(Madde_Listesi!$C:$C,MATCH($B127,Madde_Listesi!$B:$B,0)),"Kod yok"))</f>
        <v>Zorunlu eğitimler tamamlanmış</v>
      </c>
      <c r="E127" s="19" t="str">
        <f aca="false">IF($B127="","",IFERROR(INDEX(Madde_Listesi!$D:$D,MATCH($B127,Madde_Listesi!$B:$B,0)),"Kod yok"))</f>
        <v>Ekip</v>
      </c>
      <c r="F127" s="19" t="str">
        <f aca="false">IF($B127="","",IFERROR(INDEX(Madde_Listesi!$E:$E,MATCH($B127,Madde_Listesi!$B:$B,0)),"Kod yok"))</f>
        <v>Major</v>
      </c>
      <c r="G127" s="19" t="str">
        <f aca="false">IF($B127="","",IFERROR(INDEX(Madde_Listesi!$F:$F,MATCH($B127,Madde_Listesi!$B:$B,0)),"Kod yok"))</f>
        <v>Eğitim takibi</v>
      </c>
      <c r="H127" s="19" t="str">
        <f aca="false">IF($A127="","",IFERROR(INDEX(Denetimler!$C:$C,MATCH($A127,Denetimler!$A:$A,0)),"No yok"))</f>
        <v>Mağaza G</v>
      </c>
      <c r="I127" s="19" t="str">
        <f aca="false">IF($A127="","",IFERROR(INDEX(Denetimler!$D:$D,MATCH($A127,Denetimler!$A:$A,0)),"No yok"))</f>
        <v>ASA</v>
      </c>
      <c r="J127" s="19" t="str">
        <f aca="false">IF($A127="","",IFERROR(INDEX(Denetimler!$E:$E,MATCH($A127,Denetimler!$A:$A,0)),"No yok"))</f>
        <v>İç denetim</v>
      </c>
      <c r="K127" s="25" t="n">
        <f aca="false">IF($A127="","",IFERROR(INDEX(Denetimler!$B:$B,MATCH($A127,Denetimler!$A:$A,0)),"No yok"))</f>
        <v>46161</v>
      </c>
    </row>
    <row r="128" customFormat="false" ht="15" hidden="false" customHeight="false" outlineLevel="0" collapsed="false">
      <c r="A128" s="24" t="s">
        <v>170</v>
      </c>
      <c r="B128" s="24" t="s">
        <v>215</v>
      </c>
      <c r="C128" s="24" t="s">
        <v>206</v>
      </c>
      <c r="D128" s="19" t="str">
        <f aca="false">IF($B128="","",IFERROR(INDEX(Madde_Listesi!$C:$C,MATCH($B128,Madde_Listesi!$B:$B,0)),"Kod yok"))</f>
        <v>Ekipman bakım kayıtları güncel</v>
      </c>
      <c r="E128" s="19" t="str">
        <f aca="false">IF($B128="","",IFERROR(INDEX(Madde_Listesi!$D:$D,MATCH($B128,Madde_Listesi!$B:$B,0)),"Kod yok"))</f>
        <v>Ekipman</v>
      </c>
      <c r="F128" s="19" t="str">
        <f aca="false">IF($B128="","",IFERROR(INDEX(Madde_Listesi!$E:$E,MATCH($B128,Madde_Listesi!$B:$B,0)),"Kod yok"))</f>
        <v>Minör</v>
      </c>
      <c r="G128" s="19" t="str">
        <f aca="false">IF($B128="","",IFERROR(INDEX(Madde_Listesi!$F:$F,MATCH($B128,Madde_Listesi!$B:$B,0)),"Kod yok"))</f>
        <v>Ekipman bakımı</v>
      </c>
      <c r="H128" s="19" t="str">
        <f aca="false">IF($A128="","",IFERROR(INDEX(Denetimler!$C:$C,MATCH($A128,Denetimler!$A:$A,0)),"No yok"))</f>
        <v>Mağaza G</v>
      </c>
      <c r="I128" s="19" t="str">
        <f aca="false">IF($A128="","",IFERROR(INDEX(Denetimler!$D:$D,MATCH($A128,Denetimler!$A:$A,0)),"No yok"))</f>
        <v>ASA</v>
      </c>
      <c r="J128" s="19" t="str">
        <f aca="false">IF($A128="","",IFERROR(INDEX(Denetimler!$E:$E,MATCH($A128,Denetimler!$A:$A,0)),"No yok"))</f>
        <v>İç denetim</v>
      </c>
      <c r="K128" s="25" t="n">
        <f aca="false">IF($A128="","",IFERROR(INDEX(Denetimler!$B:$B,MATCH($A128,Denetimler!$A:$A,0)),"No yok"))</f>
        <v>46161</v>
      </c>
    </row>
    <row r="129" customFormat="false" ht="15" hidden="false" customHeight="false" outlineLevel="0" collapsed="false">
      <c r="A129" s="24" t="s">
        <v>170</v>
      </c>
      <c r="B129" s="24" t="s">
        <v>208</v>
      </c>
      <c r="C129" s="24" t="s">
        <v>206</v>
      </c>
      <c r="D129" s="19" t="str">
        <f aca="false">IF($B129="","",IFERROR(INDEX(Madde_Listesi!$C:$C,MATCH($B129,Madde_Listesi!$B:$B,0)),"Kod yok"))</f>
        <v>Salon ve misafir alanı temiz ve düzenli</v>
      </c>
      <c r="E129" s="19" t="str">
        <f aca="false">IF($B129="","",IFERROR(INDEX(Madde_Listesi!$D:$D,MATCH($B129,Madde_Listesi!$B:$B,0)),"Kod yok"))</f>
        <v>Misafir deneyimi</v>
      </c>
      <c r="F129" s="19" t="str">
        <f aca="false">IF($B129="","",IFERROR(INDEX(Madde_Listesi!$E:$E,MATCH($B129,Madde_Listesi!$B:$B,0)),"Kod yok"))</f>
        <v>Minör</v>
      </c>
      <c r="G129" s="19" t="str">
        <f aca="false">IF($B129="","",IFERROR(INDEX(Madde_Listesi!$F:$F,MATCH($B129,Madde_Listesi!$B:$B,0)),"Kod yok"))</f>
        <v>Mağaza standartları</v>
      </c>
      <c r="H129" s="19" t="str">
        <f aca="false">IF($A129="","",IFERROR(INDEX(Denetimler!$C:$C,MATCH($A129,Denetimler!$A:$A,0)),"No yok"))</f>
        <v>Mağaza G</v>
      </c>
      <c r="I129" s="19" t="str">
        <f aca="false">IF($A129="","",IFERROR(INDEX(Denetimler!$D:$D,MATCH($A129,Denetimler!$A:$A,0)),"No yok"))</f>
        <v>ASA</v>
      </c>
      <c r="J129" s="19" t="str">
        <f aca="false">IF($A129="","",IFERROR(INDEX(Denetimler!$E:$E,MATCH($A129,Denetimler!$A:$A,0)),"No yok"))</f>
        <v>İç denetim</v>
      </c>
      <c r="K129" s="25" t="n">
        <f aca="false">IF($A129="","",IFERROR(INDEX(Denetimler!$B:$B,MATCH($A129,Denetimler!$A:$A,0)),"No yok"))</f>
        <v>46161</v>
      </c>
    </row>
    <row r="130" customFormat="false" ht="15" hidden="false" customHeight="false" outlineLevel="0" collapsed="false">
      <c r="A130" s="24" t="s">
        <v>168</v>
      </c>
      <c r="B130" s="24" t="s">
        <v>218</v>
      </c>
      <c r="C130" s="24" t="s">
        <v>206</v>
      </c>
      <c r="D130" s="19" t="str">
        <f aca="false">IF($B130="","",IFERROR(INDEX(Madde_Listesi!$C:$C,MATCH($B130,Madde_Listesi!$B:$B,0)),"Kod yok"))</f>
        <v>Depo ve kasa anahtarları yetkili kişide</v>
      </c>
      <c r="E130" s="19" t="str">
        <f aca="false">IF($B130="","",IFERROR(INDEX(Madde_Listesi!$D:$D,MATCH($B130,Madde_Listesi!$B:$B,0)),"Kod yok"))</f>
        <v>Güvenlik</v>
      </c>
      <c r="F130" s="19" t="str">
        <f aca="false">IF($B130="","",IFERROR(INDEX(Madde_Listesi!$E:$E,MATCH($B130,Madde_Listesi!$B:$B,0)),"Kod yok"))</f>
        <v>Major</v>
      </c>
      <c r="G130" s="19" t="str">
        <f aca="false">IF($B130="","",IFERROR(INDEX(Madde_Listesi!$F:$F,MATCH($B130,Madde_Listesi!$B:$B,0)),"Kod yok"))</f>
        <v>Mağaza güvenliği</v>
      </c>
      <c r="H130" s="19" t="str">
        <f aca="false">IF($A130="","",IFERROR(INDEX(Denetimler!$C:$C,MATCH($A130,Denetimler!$A:$A,0)),"No yok"))</f>
        <v>Mağaza G</v>
      </c>
      <c r="I130" s="19" t="str">
        <f aca="false">IF($A130="","",IFERROR(INDEX(Denetimler!$D:$D,MATCH($A130,Denetimler!$A:$A,0)),"No yok"))</f>
        <v>PAP</v>
      </c>
      <c r="J130" s="19" t="str">
        <f aca="false">IF($A130="","",IFERROR(INDEX(Denetimler!$E:$E,MATCH($A130,Denetimler!$A:$A,0)),"No yok"))</f>
        <v>İç denetim</v>
      </c>
      <c r="K130" s="25" t="n">
        <f aca="false">IF($A130="","",IFERROR(INDEX(Denetimler!$B:$B,MATCH($A130,Denetimler!$A:$A,0)),"No yok"))</f>
        <v>46159</v>
      </c>
    </row>
    <row r="131" customFormat="false" ht="15" hidden="false" customHeight="false" outlineLevel="0" collapsed="false">
      <c r="A131" s="24" t="s">
        <v>168</v>
      </c>
      <c r="B131" s="24" t="s">
        <v>226</v>
      </c>
      <c r="C131" s="24" t="s">
        <v>206</v>
      </c>
      <c r="D131" s="19" t="str">
        <f aca="false">IF($B131="","",IFERROR(INDEX(Madde_Listesi!$C:$C,MATCH($B131,Madde_Listesi!$B:$B,0)),"Kod yok"))</f>
        <v>Kasa farkları kayıt altına alınmış ve açıklanmış</v>
      </c>
      <c r="E131" s="19" t="str">
        <f aca="false">IF($B131="","",IFERROR(INDEX(Madde_Listesi!$D:$D,MATCH($B131,Madde_Listesi!$B:$B,0)),"Kod yok"))</f>
        <v>Nakit</v>
      </c>
      <c r="F131" s="19" t="str">
        <f aca="false">IF($B131="","",IFERROR(INDEX(Madde_Listesi!$E:$E,MATCH($B131,Madde_Listesi!$B:$B,0)),"Kod yok"))</f>
        <v>Kritik</v>
      </c>
      <c r="G131" s="19" t="str">
        <f aca="false">IF($B131="","",IFERROR(INDEX(Madde_Listesi!$F:$F,MATCH($B131,Madde_Listesi!$B:$B,0)),"Kod yok"))</f>
        <v>Kasa prosedürleri</v>
      </c>
      <c r="H131" s="19" t="str">
        <f aca="false">IF($A131="","",IFERROR(INDEX(Denetimler!$C:$C,MATCH($A131,Denetimler!$A:$A,0)),"No yok"))</f>
        <v>Mağaza G</v>
      </c>
      <c r="I131" s="19" t="str">
        <f aca="false">IF($A131="","",IFERROR(INDEX(Denetimler!$D:$D,MATCH($A131,Denetimler!$A:$A,0)),"No yok"))</f>
        <v>PAP</v>
      </c>
      <c r="J131" s="19" t="str">
        <f aca="false">IF($A131="","",IFERROR(INDEX(Denetimler!$E:$E,MATCH($A131,Denetimler!$A:$A,0)),"No yok"))</f>
        <v>İç denetim</v>
      </c>
      <c r="K131" s="25" t="n">
        <f aca="false">IF($A131="","",IFERROR(INDEX(Denetimler!$B:$B,MATCH($A131,Denetimler!$A:$A,0)),"No yok"))</f>
        <v>46159</v>
      </c>
    </row>
    <row r="132" customFormat="false" ht="15" hidden="false" customHeight="false" outlineLevel="0" collapsed="false">
      <c r="A132" s="24" t="s">
        <v>168</v>
      </c>
      <c r="B132" s="24" t="s">
        <v>226</v>
      </c>
      <c r="C132" s="24" t="s">
        <v>206</v>
      </c>
      <c r="D132" s="19" t="str">
        <f aca="false">IF($B132="","",IFERROR(INDEX(Madde_Listesi!$C:$C,MATCH($B132,Madde_Listesi!$B:$B,0)),"Kod yok"))</f>
        <v>Kasa farkları kayıt altına alınmış ve açıklanmış</v>
      </c>
      <c r="E132" s="19" t="str">
        <f aca="false">IF($B132="","",IFERROR(INDEX(Madde_Listesi!$D:$D,MATCH($B132,Madde_Listesi!$B:$B,0)),"Kod yok"))</f>
        <v>Nakit</v>
      </c>
      <c r="F132" s="19" t="str">
        <f aca="false">IF($B132="","",IFERROR(INDEX(Madde_Listesi!$E:$E,MATCH($B132,Madde_Listesi!$B:$B,0)),"Kod yok"))</f>
        <v>Kritik</v>
      </c>
      <c r="G132" s="19" t="str">
        <f aca="false">IF($B132="","",IFERROR(INDEX(Madde_Listesi!$F:$F,MATCH($B132,Madde_Listesi!$B:$B,0)),"Kod yok"))</f>
        <v>Kasa prosedürleri</v>
      </c>
      <c r="H132" s="19" t="str">
        <f aca="false">IF($A132="","",IFERROR(INDEX(Denetimler!$C:$C,MATCH($A132,Denetimler!$A:$A,0)),"No yok"))</f>
        <v>Mağaza G</v>
      </c>
      <c r="I132" s="19" t="str">
        <f aca="false">IF($A132="","",IFERROR(INDEX(Denetimler!$D:$D,MATCH($A132,Denetimler!$A:$A,0)),"No yok"))</f>
        <v>PAP</v>
      </c>
      <c r="J132" s="19" t="str">
        <f aca="false">IF($A132="","",IFERROR(INDEX(Denetimler!$E:$E,MATCH($A132,Denetimler!$A:$A,0)),"No yok"))</f>
        <v>İç denetim</v>
      </c>
      <c r="K132" s="25" t="n">
        <f aca="false">IF($A132="","",IFERROR(INDEX(Denetimler!$B:$B,MATCH($A132,Denetimler!$A:$A,0)),"No yok"))</f>
        <v>46159</v>
      </c>
    </row>
    <row r="133" customFormat="false" ht="15" hidden="false" customHeight="false" outlineLevel="0" collapsed="false">
      <c r="A133" s="24" t="s">
        <v>168</v>
      </c>
      <c r="B133" s="24" t="s">
        <v>225</v>
      </c>
      <c r="C133" s="24" t="s">
        <v>206</v>
      </c>
      <c r="D133" s="19" t="str">
        <f aca="false">IF($B133="","",IFERROR(INDEX(Madde_Listesi!$C:$C,MATCH($B133,Madde_Listesi!$B:$B,0)),"Kod yok"))</f>
        <v>Fire ve zayi kayıtları belgeli</v>
      </c>
      <c r="E133" s="19" t="str">
        <f aca="false">IF($B133="","",IFERROR(INDEX(Madde_Listesi!$D:$D,MATCH($B133,Madde_Listesi!$B:$B,0)),"Kod yok"))</f>
        <v>Stok</v>
      </c>
      <c r="F133" s="19" t="str">
        <f aca="false">IF($B133="","",IFERROR(INDEX(Madde_Listesi!$E:$E,MATCH($B133,Madde_Listesi!$B:$B,0)),"Kod yok"))</f>
        <v>Major</v>
      </c>
      <c r="G133" s="19" t="str">
        <f aca="false">IF($B133="","",IFERROR(INDEX(Madde_Listesi!$F:$F,MATCH($B133,Madde_Listesi!$B:$B,0)),"Kod yok"))</f>
        <v>Stok ve sipariş yönetimi</v>
      </c>
      <c r="H133" s="19" t="str">
        <f aca="false">IF($A133="","",IFERROR(INDEX(Denetimler!$C:$C,MATCH($A133,Denetimler!$A:$A,0)),"No yok"))</f>
        <v>Mağaza G</v>
      </c>
      <c r="I133" s="19" t="str">
        <f aca="false">IF($A133="","",IFERROR(INDEX(Denetimler!$D:$D,MATCH($A133,Denetimler!$A:$A,0)),"No yok"))</f>
        <v>PAP</v>
      </c>
      <c r="J133" s="19" t="str">
        <f aca="false">IF($A133="","",IFERROR(INDEX(Denetimler!$E:$E,MATCH($A133,Denetimler!$A:$A,0)),"No yok"))</f>
        <v>İç denetim</v>
      </c>
      <c r="K133" s="25" t="n">
        <f aca="false">IF($A133="","",IFERROR(INDEX(Denetimler!$B:$B,MATCH($A133,Denetimler!$A:$A,0)),"No yok"))</f>
        <v>46159</v>
      </c>
    </row>
    <row r="134" customFormat="false" ht="15" hidden="false" customHeight="false" outlineLevel="0" collapsed="false">
      <c r="A134" s="24" t="s">
        <v>168</v>
      </c>
      <c r="B134" s="24" t="s">
        <v>217</v>
      </c>
      <c r="C134" s="24" t="s">
        <v>206</v>
      </c>
      <c r="D134" s="19" t="str">
        <f aca="false">IF($B134="","",IFERROR(INDEX(Madde_Listesi!$C:$C,MATCH($B134,Madde_Listesi!$B:$B,0)),"Kod yok"))</f>
        <v>Kamera kayıtları erişilebilir ve süresi uygun</v>
      </c>
      <c r="E134" s="19" t="str">
        <f aca="false">IF($B134="","",IFERROR(INDEX(Madde_Listesi!$D:$D,MATCH($B134,Madde_Listesi!$B:$B,0)),"Kod yok"))</f>
        <v>Güvenlik</v>
      </c>
      <c r="F134" s="19" t="str">
        <f aca="false">IF($B134="","",IFERROR(INDEX(Madde_Listesi!$E:$E,MATCH($B134,Madde_Listesi!$B:$B,0)),"Kod yok"))</f>
        <v>Minör</v>
      </c>
      <c r="G134" s="19" t="str">
        <f aca="false">IF($B134="","",IFERROR(INDEX(Madde_Listesi!$F:$F,MATCH($B134,Madde_Listesi!$B:$B,0)),"Kod yok"))</f>
        <v>Mağaza güvenliği</v>
      </c>
      <c r="H134" s="19" t="str">
        <f aca="false">IF($A134="","",IFERROR(INDEX(Denetimler!$C:$C,MATCH($A134,Denetimler!$A:$A,0)),"No yok"))</f>
        <v>Mağaza G</v>
      </c>
      <c r="I134" s="19" t="str">
        <f aca="false">IF($A134="","",IFERROR(INDEX(Denetimler!$D:$D,MATCH($A134,Denetimler!$A:$A,0)),"No yok"))</f>
        <v>PAP</v>
      </c>
      <c r="J134" s="19" t="str">
        <f aca="false">IF($A134="","",IFERROR(INDEX(Denetimler!$E:$E,MATCH($A134,Denetimler!$A:$A,0)),"No yok"))</f>
        <v>İç denetim</v>
      </c>
      <c r="K134" s="25" t="n">
        <f aca="false">IF($A134="","",IFERROR(INDEX(Denetimler!$B:$B,MATCH($A134,Denetimler!$A:$A,0)),"No yok"))</f>
        <v>46159</v>
      </c>
    </row>
    <row r="135" customFormat="false" ht="15" hidden="false" customHeight="false" outlineLevel="0" collapsed="false">
      <c r="A135" s="24" t="s">
        <v>168</v>
      </c>
      <c r="B135" s="24" t="s">
        <v>217</v>
      </c>
      <c r="C135" s="24" t="s">
        <v>206</v>
      </c>
      <c r="D135" s="19" t="str">
        <f aca="false">IF($B135="","",IFERROR(INDEX(Madde_Listesi!$C:$C,MATCH($B135,Madde_Listesi!$B:$B,0)),"Kod yok"))</f>
        <v>Kamera kayıtları erişilebilir ve süresi uygun</v>
      </c>
      <c r="E135" s="19" t="str">
        <f aca="false">IF($B135="","",IFERROR(INDEX(Madde_Listesi!$D:$D,MATCH($B135,Madde_Listesi!$B:$B,0)),"Kod yok"))</f>
        <v>Güvenlik</v>
      </c>
      <c r="F135" s="19" t="str">
        <f aca="false">IF($B135="","",IFERROR(INDEX(Madde_Listesi!$E:$E,MATCH($B135,Madde_Listesi!$B:$B,0)),"Kod yok"))</f>
        <v>Minör</v>
      </c>
      <c r="G135" s="19" t="str">
        <f aca="false">IF($B135="","",IFERROR(INDEX(Madde_Listesi!$F:$F,MATCH($B135,Madde_Listesi!$B:$B,0)),"Kod yok"))</f>
        <v>Mağaza güvenliği</v>
      </c>
      <c r="H135" s="19" t="str">
        <f aca="false">IF($A135="","",IFERROR(INDEX(Denetimler!$C:$C,MATCH($A135,Denetimler!$A:$A,0)),"No yok"))</f>
        <v>Mağaza G</v>
      </c>
      <c r="I135" s="19" t="str">
        <f aca="false">IF($A135="","",IFERROR(INDEX(Denetimler!$D:$D,MATCH($A135,Denetimler!$A:$A,0)),"No yok"))</f>
        <v>PAP</v>
      </c>
      <c r="J135" s="19" t="str">
        <f aca="false">IF($A135="","",IFERROR(INDEX(Denetimler!$E:$E,MATCH($A135,Denetimler!$A:$A,0)),"No yok"))</f>
        <v>İç denetim</v>
      </c>
      <c r="K135" s="25" t="n">
        <f aca="false">IF($A135="","",IFERROR(INDEX(Denetimler!$B:$B,MATCH($A135,Denetimler!$A:$A,0)),"No yok"))</f>
        <v>46159</v>
      </c>
    </row>
    <row r="136" customFormat="false" ht="15" hidden="false" customHeight="false" outlineLevel="0" collapsed="false">
      <c r="A136" s="24" t="s">
        <v>166</v>
      </c>
      <c r="B136" s="24" t="s">
        <v>211</v>
      </c>
      <c r="C136" s="24" t="s">
        <v>206</v>
      </c>
      <c r="D136" s="19" t="str">
        <f aca="false">IF($B136="","",IFERROR(INDEX(Madde_Listesi!$C:$C,MATCH($B136,Madde_Listesi!$B:$B,0)),"Kod yok"))</f>
        <v>Haşere girişini önleyen önlemler yerinde</v>
      </c>
      <c r="E136" s="19" t="str">
        <f aca="false">IF($B136="","",IFERROR(INDEX(Madde_Listesi!$D:$D,MATCH($B136,Madde_Listesi!$B:$B,0)),"Kod yok"))</f>
        <v>Haşere</v>
      </c>
      <c r="F136" s="19" t="str">
        <f aca="false">IF($B136="","",IFERROR(INDEX(Madde_Listesi!$E:$E,MATCH($B136,Madde_Listesi!$B:$B,0)),"Kod yok"))</f>
        <v>Major</v>
      </c>
      <c r="G136" s="19" t="str">
        <f aca="false">IF($B136="","",IFERROR(INDEX(Madde_Listesi!$F:$F,MATCH($B136,Madde_Listesi!$B:$B,0)),"Kod yok"))</f>
        <v>Haşere önleme</v>
      </c>
      <c r="H136" s="19" t="str">
        <f aca="false">IF($A136="","",IFERROR(INDEX(Denetimler!$C:$C,MATCH($A136,Denetimler!$A:$A,0)),"No yok"))</f>
        <v>Mağaza G</v>
      </c>
      <c r="I136" s="19" t="str">
        <f aca="false">IF($A136="","",IFERROR(INDEX(Denetimler!$D:$D,MATCH($A136,Denetimler!$A:$A,0)),"No yok"))</f>
        <v>RSA</v>
      </c>
      <c r="J136" s="19" t="str">
        <f aca="false">IF($A136="","",IFERROR(INDEX(Denetimler!$E:$E,MATCH($A136,Denetimler!$A:$A,0)),"No yok"))</f>
        <v>İç denetim</v>
      </c>
      <c r="K136" s="25" t="n">
        <f aca="false">IF($A136="","",IFERROR(INDEX(Denetimler!$B:$B,MATCH($A136,Denetimler!$A:$A,0)),"No yok"))</f>
        <v>46157</v>
      </c>
    </row>
    <row r="137" customFormat="false" ht="15" hidden="false" customHeight="false" outlineLevel="0" collapsed="false">
      <c r="A137" s="24" t="s">
        <v>166</v>
      </c>
      <c r="B137" s="24" t="s">
        <v>227</v>
      </c>
      <c r="C137" s="24" t="s">
        <v>206</v>
      </c>
      <c r="D137" s="19" t="str">
        <f aca="false">IF($B137="","",IFERROR(INDEX(Madde_Listesi!$C:$C,MATCH($B137,Madde_Listesi!$B:$B,0)),"Kod yok"))</f>
        <v>Dezenfektan konsantrasyonu test şeridiyle kontrol ediliyor</v>
      </c>
      <c r="E137" s="19" t="str">
        <f aca="false">IF($B137="","",IFERROR(INDEX(Madde_Listesi!$D:$D,MATCH($B137,Madde_Listesi!$B:$B,0)),"Kod yok"))</f>
        <v>Bulaşma</v>
      </c>
      <c r="F137" s="19" t="str">
        <f aca="false">IF($B137="","",IFERROR(INDEX(Madde_Listesi!$E:$E,MATCH($B137,Madde_Listesi!$B:$B,0)),"Kod yok"))</f>
        <v>Minör</v>
      </c>
      <c r="G137" s="19" t="str">
        <f aca="false">IF($B137="","",IFERROR(INDEX(Madde_Listesi!$F:$F,MATCH($B137,Madde_Listesi!$B:$B,0)),"Kod yok"))</f>
        <v>Temizlik ve dezenfeksiyon</v>
      </c>
      <c r="H137" s="19" t="str">
        <f aca="false">IF($A137="","",IFERROR(INDEX(Denetimler!$C:$C,MATCH($A137,Denetimler!$A:$A,0)),"No yok"))</f>
        <v>Mağaza G</v>
      </c>
      <c r="I137" s="19" t="str">
        <f aca="false">IF($A137="","",IFERROR(INDEX(Denetimler!$D:$D,MATCH($A137,Denetimler!$A:$A,0)),"No yok"))</f>
        <v>RSA</v>
      </c>
      <c r="J137" s="19" t="str">
        <f aca="false">IF($A137="","",IFERROR(INDEX(Denetimler!$E:$E,MATCH($A137,Denetimler!$A:$A,0)),"No yok"))</f>
        <v>İç denetim</v>
      </c>
      <c r="K137" s="25" t="n">
        <f aca="false">IF($A137="","",IFERROR(INDEX(Denetimler!$B:$B,MATCH($A137,Denetimler!$A:$A,0)),"No yok"))</f>
        <v>46157</v>
      </c>
    </row>
    <row r="138" customFormat="false" ht="15" hidden="false" customHeight="false" outlineLevel="0" collapsed="false">
      <c r="A138" s="24" t="s">
        <v>157</v>
      </c>
      <c r="B138" s="24" t="s">
        <v>205</v>
      </c>
      <c r="C138" s="24" t="s">
        <v>206</v>
      </c>
      <c r="D138" s="19" t="str">
        <f aca="false">IF($B138="","",IFERROR(INDEX(Madde_Listesi!$C:$C,MATCH($B138,Madde_Listesi!$B:$B,0)),"Kod yok"))</f>
        <v>Stok sayımı ve sipariş kayıtları tutarlı</v>
      </c>
      <c r="E138" s="19" t="str">
        <f aca="false">IF($B138="","",IFERROR(INDEX(Madde_Listesi!$D:$D,MATCH($B138,Madde_Listesi!$B:$B,0)),"Kod yok"))</f>
        <v>Stok</v>
      </c>
      <c r="F138" s="19" t="str">
        <f aca="false">IF($B138="","",IFERROR(INDEX(Madde_Listesi!$E:$E,MATCH($B138,Madde_Listesi!$B:$B,0)),"Kod yok"))</f>
        <v>Major</v>
      </c>
      <c r="G138" s="19" t="str">
        <f aca="false">IF($B138="","",IFERROR(INDEX(Madde_Listesi!$F:$F,MATCH($B138,Madde_Listesi!$B:$B,0)),"Kod yok"))</f>
        <v>Stok ve sipariş yönetimi</v>
      </c>
      <c r="H138" s="19" t="str">
        <f aca="false">IF($A138="","",IFERROR(INDEX(Denetimler!$C:$C,MATCH($A138,Denetimler!$A:$A,0)),"No yok"))</f>
        <v>Mağaza H</v>
      </c>
      <c r="I138" s="19" t="str">
        <f aca="false">IF($A138="","",IFERROR(INDEX(Denetimler!$D:$D,MATCH($A138,Denetimler!$A:$A,0)),"No yok"))</f>
        <v>ASA</v>
      </c>
      <c r="J138" s="19" t="str">
        <f aca="false">IF($A138="","",IFERROR(INDEX(Denetimler!$E:$E,MATCH($A138,Denetimler!$A:$A,0)),"No yok"))</f>
        <v>İç denetim</v>
      </c>
      <c r="K138" s="25" t="n">
        <f aca="false">IF($A138="","",IFERROR(INDEX(Denetimler!$B:$B,MATCH($A138,Denetimler!$A:$A,0)),"No yok"))</f>
        <v>46142</v>
      </c>
    </row>
    <row r="139" customFormat="false" ht="15" hidden="false" customHeight="false" outlineLevel="0" collapsed="false">
      <c r="A139" s="24" t="s">
        <v>157</v>
      </c>
      <c r="B139" s="24" t="s">
        <v>215</v>
      </c>
      <c r="C139" s="24" t="s">
        <v>206</v>
      </c>
      <c r="D139" s="19" t="str">
        <f aca="false">IF($B139="","",IFERROR(INDEX(Madde_Listesi!$C:$C,MATCH($B139,Madde_Listesi!$B:$B,0)),"Kod yok"))</f>
        <v>Ekipman bakım kayıtları güncel</v>
      </c>
      <c r="E139" s="19" t="str">
        <f aca="false">IF($B139="","",IFERROR(INDEX(Madde_Listesi!$D:$D,MATCH($B139,Madde_Listesi!$B:$B,0)),"Kod yok"))</f>
        <v>Ekipman</v>
      </c>
      <c r="F139" s="19" t="str">
        <f aca="false">IF($B139="","",IFERROR(INDEX(Madde_Listesi!$E:$E,MATCH($B139,Madde_Listesi!$B:$B,0)),"Kod yok"))</f>
        <v>Minör</v>
      </c>
      <c r="G139" s="19" t="str">
        <f aca="false">IF($B139="","",IFERROR(INDEX(Madde_Listesi!$F:$F,MATCH($B139,Madde_Listesi!$B:$B,0)),"Kod yok"))</f>
        <v>Ekipman bakımı</v>
      </c>
      <c r="H139" s="19" t="str">
        <f aca="false">IF($A139="","",IFERROR(INDEX(Denetimler!$C:$C,MATCH($A139,Denetimler!$A:$A,0)),"No yok"))</f>
        <v>Mağaza H</v>
      </c>
      <c r="I139" s="19" t="str">
        <f aca="false">IF($A139="","",IFERROR(INDEX(Denetimler!$D:$D,MATCH($A139,Denetimler!$A:$A,0)),"No yok"))</f>
        <v>ASA</v>
      </c>
      <c r="J139" s="19" t="str">
        <f aca="false">IF($A139="","",IFERROR(INDEX(Denetimler!$E:$E,MATCH($A139,Denetimler!$A:$A,0)),"No yok"))</f>
        <v>İç denetim</v>
      </c>
      <c r="K139" s="25" t="n">
        <f aca="false">IF($A139="","",IFERROR(INDEX(Denetimler!$B:$B,MATCH($A139,Denetimler!$A:$A,0)),"No yok"))</f>
        <v>46142</v>
      </c>
    </row>
    <row r="140" customFormat="false" ht="15" hidden="false" customHeight="false" outlineLevel="0" collapsed="false">
      <c r="A140" s="24" t="s">
        <v>157</v>
      </c>
      <c r="B140" s="24" t="s">
        <v>205</v>
      </c>
      <c r="C140" s="24" t="s">
        <v>206</v>
      </c>
      <c r="D140" s="19" t="str">
        <f aca="false">IF($B140="","",IFERROR(INDEX(Madde_Listesi!$C:$C,MATCH($B140,Madde_Listesi!$B:$B,0)),"Kod yok"))</f>
        <v>Stok sayımı ve sipariş kayıtları tutarlı</v>
      </c>
      <c r="E140" s="19" t="str">
        <f aca="false">IF($B140="","",IFERROR(INDEX(Madde_Listesi!$D:$D,MATCH($B140,Madde_Listesi!$B:$B,0)),"Kod yok"))</f>
        <v>Stok</v>
      </c>
      <c r="F140" s="19" t="str">
        <f aca="false">IF($B140="","",IFERROR(INDEX(Madde_Listesi!$E:$E,MATCH($B140,Madde_Listesi!$B:$B,0)),"Kod yok"))</f>
        <v>Major</v>
      </c>
      <c r="G140" s="19" t="str">
        <f aca="false">IF($B140="","",IFERROR(INDEX(Madde_Listesi!$F:$F,MATCH($B140,Madde_Listesi!$B:$B,0)),"Kod yok"))</f>
        <v>Stok ve sipariş yönetimi</v>
      </c>
      <c r="H140" s="19" t="str">
        <f aca="false">IF($A140="","",IFERROR(INDEX(Denetimler!$C:$C,MATCH($A140,Denetimler!$A:$A,0)),"No yok"))</f>
        <v>Mağaza H</v>
      </c>
      <c r="I140" s="19" t="str">
        <f aca="false">IF($A140="","",IFERROR(INDEX(Denetimler!$D:$D,MATCH($A140,Denetimler!$A:$A,0)),"No yok"))</f>
        <v>ASA</v>
      </c>
      <c r="J140" s="19" t="str">
        <f aca="false">IF($A140="","",IFERROR(INDEX(Denetimler!$E:$E,MATCH($A140,Denetimler!$A:$A,0)),"No yok"))</f>
        <v>İç denetim</v>
      </c>
      <c r="K140" s="25" t="n">
        <f aca="false">IF($A140="","",IFERROR(INDEX(Denetimler!$B:$B,MATCH($A140,Denetimler!$A:$A,0)),"No yok"))</f>
        <v>46142</v>
      </c>
    </row>
    <row r="141" customFormat="false" ht="15" hidden="false" customHeight="false" outlineLevel="0" collapsed="false">
      <c r="A141" s="24" t="s">
        <v>157</v>
      </c>
      <c r="B141" s="24" t="s">
        <v>205</v>
      </c>
      <c r="C141" s="24" t="s">
        <v>206</v>
      </c>
      <c r="D141" s="19" t="str">
        <f aca="false">IF($B141="","",IFERROR(INDEX(Madde_Listesi!$C:$C,MATCH($B141,Madde_Listesi!$B:$B,0)),"Kod yok"))</f>
        <v>Stok sayımı ve sipariş kayıtları tutarlı</v>
      </c>
      <c r="E141" s="19" t="str">
        <f aca="false">IF($B141="","",IFERROR(INDEX(Madde_Listesi!$D:$D,MATCH($B141,Madde_Listesi!$B:$B,0)),"Kod yok"))</f>
        <v>Stok</v>
      </c>
      <c r="F141" s="19" t="str">
        <f aca="false">IF($B141="","",IFERROR(INDEX(Madde_Listesi!$E:$E,MATCH($B141,Madde_Listesi!$B:$B,0)),"Kod yok"))</f>
        <v>Major</v>
      </c>
      <c r="G141" s="19" t="str">
        <f aca="false">IF($B141="","",IFERROR(INDEX(Madde_Listesi!$F:$F,MATCH($B141,Madde_Listesi!$B:$B,0)),"Kod yok"))</f>
        <v>Stok ve sipariş yönetimi</v>
      </c>
      <c r="H141" s="19" t="str">
        <f aca="false">IF($A141="","",IFERROR(INDEX(Denetimler!$C:$C,MATCH($A141,Denetimler!$A:$A,0)),"No yok"))</f>
        <v>Mağaza H</v>
      </c>
      <c r="I141" s="19" t="str">
        <f aca="false">IF($A141="","",IFERROR(INDEX(Denetimler!$D:$D,MATCH($A141,Denetimler!$A:$A,0)),"No yok"))</f>
        <v>ASA</v>
      </c>
      <c r="J141" s="19" t="str">
        <f aca="false">IF($A141="","",IFERROR(INDEX(Denetimler!$E:$E,MATCH($A141,Denetimler!$A:$A,0)),"No yok"))</f>
        <v>İç denetim</v>
      </c>
      <c r="K141" s="25" t="n">
        <f aca="false">IF($A141="","",IFERROR(INDEX(Denetimler!$B:$B,MATCH($A141,Denetimler!$A:$A,0)),"No yok"))</f>
        <v>46142</v>
      </c>
    </row>
    <row r="142" customFormat="false" ht="15" hidden="false" customHeight="false" outlineLevel="0" collapsed="false">
      <c r="A142" s="24" t="s">
        <v>158</v>
      </c>
      <c r="B142" s="24" t="s">
        <v>218</v>
      </c>
      <c r="C142" s="24" t="s">
        <v>206</v>
      </c>
      <c r="D142" s="19" t="str">
        <f aca="false">IF($B142="","",IFERROR(INDEX(Madde_Listesi!$C:$C,MATCH($B142,Madde_Listesi!$B:$B,0)),"Kod yok"))</f>
        <v>Depo ve kasa anahtarları yetkili kişide</v>
      </c>
      <c r="E142" s="19" t="str">
        <f aca="false">IF($B142="","",IFERROR(INDEX(Madde_Listesi!$D:$D,MATCH($B142,Madde_Listesi!$B:$B,0)),"Kod yok"))</f>
        <v>Güvenlik</v>
      </c>
      <c r="F142" s="19" t="str">
        <f aca="false">IF($B142="","",IFERROR(INDEX(Madde_Listesi!$E:$E,MATCH($B142,Madde_Listesi!$B:$B,0)),"Kod yok"))</f>
        <v>Major</v>
      </c>
      <c r="G142" s="19" t="str">
        <f aca="false">IF($B142="","",IFERROR(INDEX(Madde_Listesi!$F:$F,MATCH($B142,Madde_Listesi!$B:$B,0)),"Kod yok"))</f>
        <v>Mağaza güvenliği</v>
      </c>
      <c r="H142" s="19" t="str">
        <f aca="false">IF($A142="","",IFERROR(INDEX(Denetimler!$C:$C,MATCH($A142,Denetimler!$A:$A,0)),"No yok"))</f>
        <v>Mağaza H</v>
      </c>
      <c r="I142" s="19" t="str">
        <f aca="false">IF($A142="","",IFERROR(INDEX(Denetimler!$D:$D,MATCH($A142,Denetimler!$A:$A,0)),"No yok"))</f>
        <v>PAP</v>
      </c>
      <c r="J142" s="19" t="str">
        <f aca="false">IF($A142="","",IFERROR(INDEX(Denetimler!$E:$E,MATCH($A142,Denetimler!$A:$A,0)),"No yok"))</f>
        <v>İç denetim</v>
      </c>
      <c r="K142" s="25" t="n">
        <f aca="false">IF($A142="","",IFERROR(INDEX(Denetimler!$B:$B,MATCH($A142,Denetimler!$A:$A,0)),"No yok"))</f>
        <v>46142</v>
      </c>
    </row>
    <row r="143" customFormat="false" ht="15" hidden="false" customHeight="false" outlineLevel="0" collapsed="false">
      <c r="A143" s="24" t="s">
        <v>158</v>
      </c>
      <c r="B143" s="24" t="s">
        <v>217</v>
      </c>
      <c r="C143" s="24" t="s">
        <v>206</v>
      </c>
      <c r="D143" s="19" t="str">
        <f aca="false">IF($B143="","",IFERROR(INDEX(Madde_Listesi!$C:$C,MATCH($B143,Madde_Listesi!$B:$B,0)),"Kod yok"))</f>
        <v>Kamera kayıtları erişilebilir ve süresi uygun</v>
      </c>
      <c r="E143" s="19" t="str">
        <f aca="false">IF($B143="","",IFERROR(INDEX(Madde_Listesi!$D:$D,MATCH($B143,Madde_Listesi!$B:$B,0)),"Kod yok"))</f>
        <v>Güvenlik</v>
      </c>
      <c r="F143" s="19" t="str">
        <f aca="false">IF($B143="","",IFERROR(INDEX(Madde_Listesi!$E:$E,MATCH($B143,Madde_Listesi!$B:$B,0)),"Kod yok"))</f>
        <v>Minör</v>
      </c>
      <c r="G143" s="19" t="str">
        <f aca="false">IF($B143="","",IFERROR(INDEX(Madde_Listesi!$F:$F,MATCH($B143,Madde_Listesi!$B:$B,0)),"Kod yok"))</f>
        <v>Mağaza güvenliği</v>
      </c>
      <c r="H143" s="19" t="str">
        <f aca="false">IF($A143="","",IFERROR(INDEX(Denetimler!$C:$C,MATCH($A143,Denetimler!$A:$A,0)),"No yok"))</f>
        <v>Mağaza H</v>
      </c>
      <c r="I143" s="19" t="str">
        <f aca="false">IF($A143="","",IFERROR(INDEX(Denetimler!$D:$D,MATCH($A143,Denetimler!$A:$A,0)),"No yok"))</f>
        <v>PAP</v>
      </c>
      <c r="J143" s="19" t="str">
        <f aca="false">IF($A143="","",IFERROR(INDEX(Denetimler!$E:$E,MATCH($A143,Denetimler!$A:$A,0)),"No yok"))</f>
        <v>İç denetim</v>
      </c>
      <c r="K143" s="25" t="n">
        <f aca="false">IF($A143="","",IFERROR(INDEX(Denetimler!$B:$B,MATCH($A143,Denetimler!$A:$A,0)),"No yok"))</f>
        <v>46142</v>
      </c>
    </row>
    <row r="144" customFormat="false" ht="15" hidden="false" customHeight="false" outlineLevel="0" collapsed="false">
      <c r="A144" s="24" t="s">
        <v>158</v>
      </c>
      <c r="B144" s="24" t="s">
        <v>228</v>
      </c>
      <c r="C144" s="24" t="s">
        <v>206</v>
      </c>
      <c r="D144" s="19" t="str">
        <f aca="false">IF($B144="","",IFERROR(INDEX(Madde_Listesi!$C:$C,MATCH($B144,Madde_Listesi!$B:$B,0)),"Kod yok"))</f>
        <v>Personel indirimleri kurala uygun kullanılıyor</v>
      </c>
      <c r="E144" s="19" t="str">
        <f aca="false">IF($B144="","",IFERROR(INDEX(Madde_Listesi!$D:$D,MATCH($B144,Madde_Listesi!$B:$B,0)),"Kod yok"))</f>
        <v>İşlem</v>
      </c>
      <c r="F144" s="19" t="str">
        <f aca="false">IF($B144="","",IFERROR(INDEX(Madde_Listesi!$E:$E,MATCH($B144,Madde_Listesi!$B:$B,0)),"Kod yok"))</f>
        <v>Minör</v>
      </c>
      <c r="G144" s="19" t="str">
        <f aca="false">IF($B144="","",IFERROR(INDEX(Madde_Listesi!$F:$F,MATCH($B144,Madde_Listesi!$B:$B,0)),"Kod yok"))</f>
        <v>İptal ve iade süreçleri</v>
      </c>
      <c r="H144" s="19" t="str">
        <f aca="false">IF($A144="","",IFERROR(INDEX(Denetimler!$C:$C,MATCH($A144,Denetimler!$A:$A,0)),"No yok"))</f>
        <v>Mağaza H</v>
      </c>
      <c r="I144" s="19" t="str">
        <f aca="false">IF($A144="","",IFERROR(INDEX(Denetimler!$D:$D,MATCH($A144,Denetimler!$A:$A,0)),"No yok"))</f>
        <v>PAP</v>
      </c>
      <c r="J144" s="19" t="str">
        <f aca="false">IF($A144="","",IFERROR(INDEX(Denetimler!$E:$E,MATCH($A144,Denetimler!$A:$A,0)),"No yok"))</f>
        <v>İç denetim</v>
      </c>
      <c r="K144" s="25" t="n">
        <f aca="false">IF($A144="","",IFERROR(INDEX(Denetimler!$B:$B,MATCH($A144,Denetimler!$A:$A,0)),"No yok"))</f>
        <v>46142</v>
      </c>
    </row>
    <row r="145" customFormat="false" ht="15" hidden="false" customHeight="false" outlineLevel="0" collapsed="false">
      <c r="A145" s="24" t="s">
        <v>189</v>
      </c>
      <c r="B145" s="24" t="s">
        <v>224</v>
      </c>
      <c r="C145" s="24" t="s">
        <v>206</v>
      </c>
      <c r="D145" s="19" t="str">
        <f aca="false">IF($B145="","",IFERROR(INDEX(Madde_Listesi!$C:$C,MATCH($B145,Madde_Listesi!$B:$B,0)),"Kod yok"))</f>
        <v>İptal ve iade işlemleri yönetici onaylı</v>
      </c>
      <c r="E145" s="19" t="str">
        <f aca="false">IF($B145="","",IFERROR(INDEX(Madde_Listesi!$D:$D,MATCH($B145,Madde_Listesi!$B:$B,0)),"Kod yok"))</f>
        <v>İşlem</v>
      </c>
      <c r="F145" s="19" t="str">
        <f aca="false">IF($B145="","",IFERROR(INDEX(Madde_Listesi!$E:$E,MATCH($B145,Madde_Listesi!$B:$B,0)),"Kod yok"))</f>
        <v>Major</v>
      </c>
      <c r="G145" s="19" t="str">
        <f aca="false">IF($B145="","",IFERROR(INDEX(Madde_Listesi!$F:$F,MATCH($B145,Madde_Listesi!$B:$B,0)),"Kod yok"))</f>
        <v>İptal ve iade süreçleri</v>
      </c>
      <c r="H145" s="19" t="str">
        <f aca="false">IF($A145="","",IFERROR(INDEX(Denetimler!$C:$C,MATCH($A145,Denetimler!$A:$A,0)),"No yok"))</f>
        <v>Mağaza A</v>
      </c>
      <c r="I145" s="19" t="str">
        <f aca="false">IF($A145="","",IFERROR(INDEX(Denetimler!$D:$D,MATCH($A145,Denetimler!$A:$A,0)),"No yok"))</f>
        <v>PAP</v>
      </c>
      <c r="J145" s="19" t="str">
        <f aca="false">IF($A145="","",IFERROR(INDEX(Denetimler!$E:$E,MATCH($A145,Denetimler!$A:$A,0)),"No yok"))</f>
        <v>İç denetim</v>
      </c>
      <c r="K145" s="25" t="n">
        <f aca="false">IF($A145="","",IFERROR(INDEX(Denetimler!$B:$B,MATCH($A145,Denetimler!$A:$A,0)),"No yok"))</f>
        <v>46237</v>
      </c>
    </row>
    <row r="146" customFormat="false" ht="15" hidden="false" customHeight="false" outlineLevel="0" collapsed="false">
      <c r="A146" s="24" t="s">
        <v>189</v>
      </c>
      <c r="B146" s="24" t="s">
        <v>226</v>
      </c>
      <c r="C146" s="24" t="s">
        <v>206</v>
      </c>
      <c r="D146" s="19" t="str">
        <f aca="false">IF($B146="","",IFERROR(INDEX(Madde_Listesi!$C:$C,MATCH($B146,Madde_Listesi!$B:$B,0)),"Kod yok"))</f>
        <v>Kasa farkları kayıt altına alınmış ve açıklanmış</v>
      </c>
      <c r="E146" s="19" t="str">
        <f aca="false">IF($B146="","",IFERROR(INDEX(Madde_Listesi!$D:$D,MATCH($B146,Madde_Listesi!$B:$B,0)),"Kod yok"))</f>
        <v>Nakit</v>
      </c>
      <c r="F146" s="19" t="str">
        <f aca="false">IF($B146="","",IFERROR(INDEX(Madde_Listesi!$E:$E,MATCH($B146,Madde_Listesi!$B:$B,0)),"Kod yok"))</f>
        <v>Kritik</v>
      </c>
      <c r="G146" s="19" t="str">
        <f aca="false">IF($B146="","",IFERROR(INDEX(Madde_Listesi!$F:$F,MATCH($B146,Madde_Listesi!$B:$B,0)),"Kod yok"))</f>
        <v>Kasa prosedürleri</v>
      </c>
      <c r="H146" s="19" t="str">
        <f aca="false">IF($A146="","",IFERROR(INDEX(Denetimler!$C:$C,MATCH($A146,Denetimler!$A:$A,0)),"No yok"))</f>
        <v>Mağaza A</v>
      </c>
      <c r="I146" s="19" t="str">
        <f aca="false">IF($A146="","",IFERROR(INDEX(Denetimler!$D:$D,MATCH($A146,Denetimler!$A:$A,0)),"No yok"))</f>
        <v>PAP</v>
      </c>
      <c r="J146" s="19" t="str">
        <f aca="false">IF($A146="","",IFERROR(INDEX(Denetimler!$E:$E,MATCH($A146,Denetimler!$A:$A,0)),"No yok"))</f>
        <v>İç denetim</v>
      </c>
      <c r="K146" s="25" t="n">
        <f aca="false">IF($A146="","",IFERROR(INDEX(Denetimler!$B:$B,MATCH($A146,Denetimler!$A:$A,0)),"No yok"))</f>
        <v>46237</v>
      </c>
    </row>
    <row r="147" customFormat="false" ht="15" hidden="false" customHeight="false" outlineLevel="0" collapsed="false">
      <c r="A147" s="24" t="s">
        <v>191</v>
      </c>
      <c r="B147" s="24" t="s">
        <v>215</v>
      </c>
      <c r="C147" s="24" t="s">
        <v>206</v>
      </c>
      <c r="D147" s="19" t="str">
        <f aca="false">IF($B147="","",IFERROR(INDEX(Madde_Listesi!$C:$C,MATCH($B147,Madde_Listesi!$B:$B,0)),"Kod yok"))</f>
        <v>Ekipman bakım kayıtları güncel</v>
      </c>
      <c r="E147" s="19" t="str">
        <f aca="false">IF($B147="","",IFERROR(INDEX(Madde_Listesi!$D:$D,MATCH($B147,Madde_Listesi!$B:$B,0)),"Kod yok"))</f>
        <v>Ekipman</v>
      </c>
      <c r="F147" s="19" t="str">
        <f aca="false">IF($B147="","",IFERROR(INDEX(Madde_Listesi!$E:$E,MATCH($B147,Madde_Listesi!$B:$B,0)),"Kod yok"))</f>
        <v>Minör</v>
      </c>
      <c r="G147" s="19" t="str">
        <f aca="false">IF($B147="","",IFERROR(INDEX(Madde_Listesi!$F:$F,MATCH($B147,Madde_Listesi!$B:$B,0)),"Kod yok"))</f>
        <v>Ekipman bakımı</v>
      </c>
      <c r="H147" s="19" t="str">
        <f aca="false">IF($A147="","",IFERROR(INDEX(Denetimler!$C:$C,MATCH($A147,Denetimler!$A:$A,0)),"No yok"))</f>
        <v>Mağaza C</v>
      </c>
      <c r="I147" s="19" t="str">
        <f aca="false">IF($A147="","",IFERROR(INDEX(Denetimler!$D:$D,MATCH($A147,Denetimler!$A:$A,0)),"No yok"))</f>
        <v>ASA</v>
      </c>
      <c r="J147" s="19" t="str">
        <f aca="false">IF($A147="","",IFERROR(INDEX(Denetimler!$E:$E,MATCH($A147,Denetimler!$A:$A,0)),"No yok"))</f>
        <v>İç denetim</v>
      </c>
      <c r="K147" s="25" t="n">
        <f aca="false">IF($A147="","",IFERROR(INDEX(Denetimler!$B:$B,MATCH($A147,Denetimler!$A:$A,0)),"No yok"))</f>
        <v>46243</v>
      </c>
    </row>
    <row r="148" customFormat="false" ht="15" hidden="false" customHeight="false" outlineLevel="0" collapsed="false">
      <c r="A148" s="24" t="s">
        <v>191</v>
      </c>
      <c r="B148" s="24" t="s">
        <v>216</v>
      </c>
      <c r="C148" s="24" t="s">
        <v>206</v>
      </c>
      <c r="D148" s="19" t="str">
        <f aca="false">IF($B148="","",IFERROR(INDEX(Madde_Listesi!$C:$C,MATCH($B148,Madde_Listesi!$B:$B,0)),"Kod yok"))</f>
        <v>Kasa açılış-kapanış prosedürü uygulanıyor</v>
      </c>
      <c r="E148" s="19" t="str">
        <f aca="false">IF($B148="","",IFERROR(INDEX(Madde_Listesi!$D:$D,MATCH($B148,Madde_Listesi!$B:$B,0)),"Kod yok"))</f>
        <v>Operasyon</v>
      </c>
      <c r="F148" s="19" t="str">
        <f aca="false">IF($B148="","",IFERROR(INDEX(Madde_Listesi!$E:$E,MATCH($B148,Madde_Listesi!$B:$B,0)),"Kod yok"))</f>
        <v>Kritik</v>
      </c>
      <c r="G148" s="19" t="str">
        <f aca="false">IF($B148="","",IFERROR(INDEX(Madde_Listesi!$F:$F,MATCH($B148,Madde_Listesi!$B:$B,0)),"Kod yok"))</f>
        <v>Kasa prosedürleri</v>
      </c>
      <c r="H148" s="19" t="str">
        <f aca="false">IF($A148="","",IFERROR(INDEX(Denetimler!$C:$C,MATCH($A148,Denetimler!$A:$A,0)),"No yok"))</f>
        <v>Mağaza C</v>
      </c>
      <c r="I148" s="19" t="str">
        <f aca="false">IF($A148="","",IFERROR(INDEX(Denetimler!$D:$D,MATCH($A148,Denetimler!$A:$A,0)),"No yok"))</f>
        <v>ASA</v>
      </c>
      <c r="J148" s="19" t="str">
        <f aca="false">IF($A148="","",IFERROR(INDEX(Denetimler!$E:$E,MATCH($A148,Denetimler!$A:$A,0)),"No yok"))</f>
        <v>İç denetim</v>
      </c>
      <c r="K148" s="25" t="n">
        <f aca="false">IF($A148="","",IFERROR(INDEX(Denetimler!$B:$B,MATCH($A148,Denetimler!$A:$A,0)),"No yok"))</f>
        <v>46243</v>
      </c>
    </row>
    <row r="149" customFormat="false" ht="15" hidden="false" customHeight="false" outlineLevel="0" collapsed="false">
      <c r="A149" s="24" t="s">
        <v>200</v>
      </c>
      <c r="B149" s="24" t="s">
        <v>228</v>
      </c>
      <c r="C149" s="24" t="s">
        <v>206</v>
      </c>
      <c r="D149" s="19" t="str">
        <f aca="false">IF($B149="","",IFERROR(INDEX(Madde_Listesi!$C:$C,MATCH($B149,Madde_Listesi!$B:$B,0)),"Kod yok"))</f>
        <v>Personel indirimleri kurala uygun kullanılıyor</v>
      </c>
      <c r="E149" s="19" t="str">
        <f aca="false">IF($B149="","",IFERROR(INDEX(Madde_Listesi!$D:$D,MATCH($B149,Madde_Listesi!$B:$B,0)),"Kod yok"))</f>
        <v>İşlem</v>
      </c>
      <c r="F149" s="19" t="str">
        <f aca="false">IF($B149="","",IFERROR(INDEX(Madde_Listesi!$E:$E,MATCH($B149,Madde_Listesi!$B:$B,0)),"Kod yok"))</f>
        <v>Minör</v>
      </c>
      <c r="G149" s="19" t="str">
        <f aca="false">IF($B149="","",IFERROR(INDEX(Madde_Listesi!$F:$F,MATCH($B149,Madde_Listesi!$B:$B,0)),"Kod yok"))</f>
        <v>İptal ve iade süreçleri</v>
      </c>
      <c r="H149" s="19" t="str">
        <f aca="false">IF($A149="","",IFERROR(INDEX(Denetimler!$C:$C,MATCH($A149,Denetimler!$A:$A,0)),"No yok"))</f>
        <v>Mağaza C</v>
      </c>
      <c r="I149" s="19" t="str">
        <f aca="false">IF($A149="","",IFERROR(INDEX(Denetimler!$D:$D,MATCH($A149,Denetimler!$A:$A,0)),"No yok"))</f>
        <v>PAP</v>
      </c>
      <c r="J149" s="19" t="str">
        <f aca="false">IF($A149="","",IFERROR(INDEX(Denetimler!$E:$E,MATCH($A149,Denetimler!$A:$A,0)),"No yok"))</f>
        <v>İç denetim</v>
      </c>
      <c r="K149" s="25" t="n">
        <f aca="false">IF($A149="","",IFERROR(INDEX(Denetimler!$B:$B,MATCH($A149,Denetimler!$A:$A,0)),"No yok"))</f>
        <v>46257</v>
      </c>
    </row>
    <row r="150" customFormat="false" ht="15" hidden="false" customHeight="false" outlineLevel="0" collapsed="false">
      <c r="A150" s="24" t="s">
        <v>200</v>
      </c>
      <c r="B150" s="24" t="s">
        <v>224</v>
      </c>
      <c r="C150" s="24" t="s">
        <v>206</v>
      </c>
      <c r="D150" s="19" t="str">
        <f aca="false">IF($B150="","",IFERROR(INDEX(Madde_Listesi!$C:$C,MATCH($B150,Madde_Listesi!$B:$B,0)),"Kod yok"))</f>
        <v>İptal ve iade işlemleri yönetici onaylı</v>
      </c>
      <c r="E150" s="19" t="str">
        <f aca="false">IF($B150="","",IFERROR(INDEX(Madde_Listesi!$D:$D,MATCH($B150,Madde_Listesi!$B:$B,0)),"Kod yok"))</f>
        <v>İşlem</v>
      </c>
      <c r="F150" s="19" t="str">
        <f aca="false">IF($B150="","",IFERROR(INDEX(Madde_Listesi!$E:$E,MATCH($B150,Madde_Listesi!$B:$B,0)),"Kod yok"))</f>
        <v>Major</v>
      </c>
      <c r="G150" s="19" t="str">
        <f aca="false">IF($B150="","",IFERROR(INDEX(Madde_Listesi!$F:$F,MATCH($B150,Madde_Listesi!$B:$B,0)),"Kod yok"))</f>
        <v>İptal ve iade süreçleri</v>
      </c>
      <c r="H150" s="19" t="str">
        <f aca="false">IF($A150="","",IFERROR(INDEX(Denetimler!$C:$C,MATCH($A150,Denetimler!$A:$A,0)),"No yok"))</f>
        <v>Mağaza C</v>
      </c>
      <c r="I150" s="19" t="str">
        <f aca="false">IF($A150="","",IFERROR(INDEX(Denetimler!$D:$D,MATCH($A150,Denetimler!$A:$A,0)),"No yok"))</f>
        <v>PAP</v>
      </c>
      <c r="J150" s="19" t="str">
        <f aca="false">IF($A150="","",IFERROR(INDEX(Denetimler!$E:$E,MATCH($A150,Denetimler!$A:$A,0)),"No yok"))</f>
        <v>İç denetim</v>
      </c>
      <c r="K150" s="25" t="n">
        <f aca="false">IF($A150="","",IFERROR(INDEX(Denetimler!$B:$B,MATCH($A150,Denetimler!$A:$A,0)),"No yok"))</f>
        <v>46257</v>
      </c>
    </row>
    <row r="151" customFormat="false" ht="15" hidden="false" customHeight="false" outlineLevel="0" collapsed="false">
      <c r="A151" s="24" t="s">
        <v>200</v>
      </c>
      <c r="B151" s="24" t="s">
        <v>226</v>
      </c>
      <c r="C151" s="24" t="s">
        <v>206</v>
      </c>
      <c r="D151" s="19" t="str">
        <f aca="false">IF($B151="","",IFERROR(INDEX(Madde_Listesi!$C:$C,MATCH($B151,Madde_Listesi!$B:$B,0)),"Kod yok"))</f>
        <v>Kasa farkları kayıt altına alınmış ve açıklanmış</v>
      </c>
      <c r="E151" s="19" t="str">
        <f aca="false">IF($B151="","",IFERROR(INDEX(Madde_Listesi!$D:$D,MATCH($B151,Madde_Listesi!$B:$B,0)),"Kod yok"))</f>
        <v>Nakit</v>
      </c>
      <c r="F151" s="19" t="str">
        <f aca="false">IF($B151="","",IFERROR(INDEX(Madde_Listesi!$E:$E,MATCH($B151,Madde_Listesi!$B:$B,0)),"Kod yok"))</f>
        <v>Kritik</v>
      </c>
      <c r="G151" s="19" t="str">
        <f aca="false">IF($B151="","",IFERROR(INDEX(Madde_Listesi!$F:$F,MATCH($B151,Madde_Listesi!$B:$B,0)),"Kod yok"))</f>
        <v>Kasa prosedürleri</v>
      </c>
      <c r="H151" s="19" t="str">
        <f aca="false">IF($A151="","",IFERROR(INDEX(Denetimler!$C:$C,MATCH($A151,Denetimler!$A:$A,0)),"No yok"))</f>
        <v>Mağaza C</v>
      </c>
      <c r="I151" s="19" t="str">
        <f aca="false">IF($A151="","",IFERROR(INDEX(Denetimler!$D:$D,MATCH($A151,Denetimler!$A:$A,0)),"No yok"))</f>
        <v>PAP</v>
      </c>
      <c r="J151" s="19" t="str">
        <f aca="false">IF($A151="","",IFERROR(INDEX(Denetimler!$E:$E,MATCH($A151,Denetimler!$A:$A,0)),"No yok"))</f>
        <v>İç denetim</v>
      </c>
      <c r="K151" s="25" t="n">
        <f aca="false">IF($A151="","",IFERROR(INDEX(Denetimler!$B:$B,MATCH($A151,Denetimler!$A:$A,0)),"No yok"))</f>
        <v>46257</v>
      </c>
    </row>
    <row r="152" customFormat="false" ht="15" hidden="false" customHeight="false" outlineLevel="0" collapsed="false">
      <c r="A152" s="24" t="s">
        <v>188</v>
      </c>
      <c r="B152" s="24" t="s">
        <v>222</v>
      </c>
      <c r="C152" s="24" t="s">
        <v>206</v>
      </c>
      <c r="D152" s="19" t="str">
        <f aca="false">IF($B152="","",IFERROR(INDEX(Madde_Listesi!$C:$C,MATCH($B152,Madde_Listesi!$B:$B,0)),"Kod yok"))</f>
        <v>Çalışan takı ve kişisel hijyen kurallarına uyuyor</v>
      </c>
      <c r="E152" s="19" t="str">
        <f aca="false">IF($B152="","",IFERROR(INDEX(Madde_Listesi!$D:$D,MATCH($B152,Madde_Listesi!$B:$B,0)),"Kod yok"))</f>
        <v>Partner</v>
      </c>
      <c r="F152" s="19" t="str">
        <f aca="false">IF($B152="","",IFERROR(INDEX(Madde_Listesi!$E:$E,MATCH($B152,Madde_Listesi!$B:$B,0)),"Kod yok"))</f>
        <v>Major</v>
      </c>
      <c r="G152" s="19" t="str">
        <f aca="false">IF($B152="","",IFERROR(INDEX(Madde_Listesi!$F:$F,MATCH($B152,Madde_Listesi!$B:$B,0)),"Kod yok"))</f>
        <v>Kişisel hijyen</v>
      </c>
      <c r="H152" s="19" t="str">
        <f aca="false">IF($A152="","",IFERROR(INDEX(Denetimler!$C:$C,MATCH($A152,Denetimler!$A:$A,0)),"No yok"))</f>
        <v>Mağaza C</v>
      </c>
      <c r="I152" s="19" t="str">
        <f aca="false">IF($A152="","",IFERROR(INDEX(Denetimler!$D:$D,MATCH($A152,Denetimler!$A:$A,0)),"No yok"))</f>
        <v>RSA</v>
      </c>
      <c r="J152" s="19" t="str">
        <f aca="false">IF($A152="","",IFERROR(INDEX(Denetimler!$E:$E,MATCH($A152,Denetimler!$A:$A,0)),"No yok"))</f>
        <v>İç denetim</v>
      </c>
      <c r="K152" s="25" t="n">
        <f aca="false">IF($A152="","",IFERROR(INDEX(Denetimler!$B:$B,MATCH($A152,Denetimler!$A:$A,0)),"No yok"))</f>
        <v>46229</v>
      </c>
    </row>
    <row r="153" customFormat="false" ht="15" hidden="false" customHeight="false" outlineLevel="0" collapsed="false">
      <c r="A153" s="24" t="s">
        <v>188</v>
      </c>
      <c r="B153" s="24" t="s">
        <v>210</v>
      </c>
      <c r="C153" s="24" t="s">
        <v>206</v>
      </c>
      <c r="D153" s="19" t="str">
        <f aca="false">IF($B153="","",IFERROR(INDEX(Madde_Listesi!$C:$C,MATCH($B153,Madde_Listesi!$B:$B,0)),"Kod yok"))</f>
        <v>Kimyasallar etiketli ve gıdadan ayrı saklanıyor</v>
      </c>
      <c r="E153" s="19" t="str">
        <f aca="false">IF($B153="","",IFERROR(INDEX(Madde_Listesi!$D:$D,MATCH($B153,Madde_Listesi!$B:$B,0)),"Kod yok"))</f>
        <v>Bulaşma</v>
      </c>
      <c r="F153" s="19" t="str">
        <f aca="false">IF($B153="","",IFERROR(INDEX(Madde_Listesi!$E:$E,MATCH($B153,Madde_Listesi!$B:$B,0)),"Kod yok"))</f>
        <v>Major</v>
      </c>
      <c r="G153" s="19" t="str">
        <f aca="false">IF($B153="","",IFERROR(INDEX(Madde_Listesi!$F:$F,MATCH($B153,Madde_Listesi!$B:$B,0)),"Kod yok"))</f>
        <v>Kimyasal güvenliği</v>
      </c>
      <c r="H153" s="19" t="str">
        <f aca="false">IF($A153="","",IFERROR(INDEX(Denetimler!$C:$C,MATCH($A153,Denetimler!$A:$A,0)),"No yok"))</f>
        <v>Mağaza C</v>
      </c>
      <c r="I153" s="19" t="str">
        <f aca="false">IF($A153="","",IFERROR(INDEX(Denetimler!$D:$D,MATCH($A153,Denetimler!$A:$A,0)),"No yok"))</f>
        <v>RSA</v>
      </c>
      <c r="J153" s="19" t="str">
        <f aca="false">IF($A153="","",IFERROR(INDEX(Denetimler!$E:$E,MATCH($A153,Denetimler!$A:$A,0)),"No yok"))</f>
        <v>İç denetim</v>
      </c>
      <c r="K153" s="25" t="n">
        <f aca="false">IF($A153="","",IFERROR(INDEX(Denetimler!$B:$B,MATCH($A153,Denetimler!$A:$A,0)),"No yok"))</f>
        <v>46229</v>
      </c>
    </row>
    <row r="154" customFormat="false" ht="15" hidden="false" customHeight="false" outlineLevel="0" collapsed="false">
      <c r="A154" s="24" t="s">
        <v>188</v>
      </c>
      <c r="B154" s="24" t="s">
        <v>214</v>
      </c>
      <c r="C154" s="24" t="s">
        <v>206</v>
      </c>
      <c r="D154" s="19" t="str">
        <f aca="false">IF($B154="","",IFERROR(INDEX(Madde_Listesi!$C:$C,MATCH($B154,Madde_Listesi!$B:$B,0)),"Kod yok"))</f>
        <v>Sıcaklık kayıtları tam ve zamanında tutulmuş</v>
      </c>
      <c r="E154" s="19" t="str">
        <f aca="false">IF($B154="","",IFERROR(INDEX(Madde_Listesi!$D:$D,MATCH($B154,Madde_Listesi!$B:$B,0)),"Kod yok"))</f>
        <v>Sıcaklık</v>
      </c>
      <c r="F154" s="19" t="str">
        <f aca="false">IF($B154="","",IFERROR(INDEX(Madde_Listesi!$E:$E,MATCH($B154,Madde_Listesi!$B:$B,0)),"Kod yok"))</f>
        <v>Major</v>
      </c>
      <c r="G154" s="19" t="str">
        <f aca="false">IF($B154="","",IFERROR(INDEX(Madde_Listesi!$F:$F,MATCH($B154,Madde_Listesi!$B:$B,0)),"Kod yok"))</f>
        <v>Soğuk zincir ve sıcaklık kontrolü</v>
      </c>
      <c r="H154" s="19" t="str">
        <f aca="false">IF($A154="","",IFERROR(INDEX(Denetimler!$C:$C,MATCH($A154,Denetimler!$A:$A,0)),"No yok"))</f>
        <v>Mağaza C</v>
      </c>
      <c r="I154" s="19" t="str">
        <f aca="false">IF($A154="","",IFERROR(INDEX(Denetimler!$D:$D,MATCH($A154,Denetimler!$A:$A,0)),"No yok"))</f>
        <v>RSA</v>
      </c>
      <c r="J154" s="19" t="str">
        <f aca="false">IF($A154="","",IFERROR(INDEX(Denetimler!$E:$E,MATCH($A154,Denetimler!$A:$A,0)),"No yok"))</f>
        <v>İç denetim</v>
      </c>
      <c r="K154" s="25" t="n">
        <f aca="false">IF($A154="","",IFERROR(INDEX(Denetimler!$B:$B,MATCH($A154,Denetimler!$A:$A,0)),"No yok"))</f>
        <v>46229</v>
      </c>
    </row>
    <row r="155" customFormat="false" ht="15" hidden="false" customHeight="false" outlineLevel="0" collapsed="false">
      <c r="A155" s="24" t="s">
        <v>188</v>
      </c>
      <c r="B155" s="24" t="s">
        <v>210</v>
      </c>
      <c r="C155" s="24" t="s">
        <v>206</v>
      </c>
      <c r="D155" s="19" t="str">
        <f aca="false">IF($B155="","",IFERROR(INDEX(Madde_Listesi!$C:$C,MATCH($B155,Madde_Listesi!$B:$B,0)),"Kod yok"))</f>
        <v>Kimyasallar etiketli ve gıdadan ayrı saklanıyor</v>
      </c>
      <c r="E155" s="19" t="str">
        <f aca="false">IF($B155="","",IFERROR(INDEX(Madde_Listesi!$D:$D,MATCH($B155,Madde_Listesi!$B:$B,0)),"Kod yok"))</f>
        <v>Bulaşma</v>
      </c>
      <c r="F155" s="19" t="str">
        <f aca="false">IF($B155="","",IFERROR(INDEX(Madde_Listesi!$E:$E,MATCH($B155,Madde_Listesi!$B:$B,0)),"Kod yok"))</f>
        <v>Major</v>
      </c>
      <c r="G155" s="19" t="str">
        <f aca="false">IF($B155="","",IFERROR(INDEX(Madde_Listesi!$F:$F,MATCH($B155,Madde_Listesi!$B:$B,0)),"Kod yok"))</f>
        <v>Kimyasal güvenliği</v>
      </c>
      <c r="H155" s="19" t="str">
        <f aca="false">IF($A155="","",IFERROR(INDEX(Denetimler!$C:$C,MATCH($A155,Denetimler!$A:$A,0)),"No yok"))</f>
        <v>Mağaza C</v>
      </c>
      <c r="I155" s="19" t="str">
        <f aca="false">IF($A155="","",IFERROR(INDEX(Denetimler!$D:$D,MATCH($A155,Denetimler!$A:$A,0)),"No yok"))</f>
        <v>RSA</v>
      </c>
      <c r="J155" s="19" t="str">
        <f aca="false">IF($A155="","",IFERROR(INDEX(Denetimler!$E:$E,MATCH($A155,Denetimler!$A:$A,0)),"No yok"))</f>
        <v>İç denetim</v>
      </c>
      <c r="K155" s="25" t="n">
        <f aca="false">IF($A155="","",IFERROR(INDEX(Denetimler!$B:$B,MATCH($A155,Denetimler!$A:$A,0)),"No yok"))</f>
        <v>46229</v>
      </c>
    </row>
    <row r="156" customFormat="false" ht="15" hidden="false" customHeight="false" outlineLevel="0" collapsed="false">
      <c r="A156" s="24" t="s">
        <v>188</v>
      </c>
      <c r="B156" s="24" t="s">
        <v>210</v>
      </c>
      <c r="C156" s="24" t="s">
        <v>206</v>
      </c>
      <c r="D156" s="19" t="str">
        <f aca="false">IF($B156="","",IFERROR(INDEX(Madde_Listesi!$C:$C,MATCH($B156,Madde_Listesi!$B:$B,0)),"Kod yok"))</f>
        <v>Kimyasallar etiketli ve gıdadan ayrı saklanıyor</v>
      </c>
      <c r="E156" s="19" t="str">
        <f aca="false">IF($B156="","",IFERROR(INDEX(Madde_Listesi!$D:$D,MATCH($B156,Madde_Listesi!$B:$B,0)),"Kod yok"))</f>
        <v>Bulaşma</v>
      </c>
      <c r="F156" s="19" t="str">
        <f aca="false">IF($B156="","",IFERROR(INDEX(Madde_Listesi!$E:$E,MATCH($B156,Madde_Listesi!$B:$B,0)),"Kod yok"))</f>
        <v>Major</v>
      </c>
      <c r="G156" s="19" t="str">
        <f aca="false">IF($B156="","",IFERROR(INDEX(Madde_Listesi!$F:$F,MATCH($B156,Madde_Listesi!$B:$B,0)),"Kod yok"))</f>
        <v>Kimyasal güvenliği</v>
      </c>
      <c r="H156" s="19" t="str">
        <f aca="false">IF($A156="","",IFERROR(INDEX(Denetimler!$C:$C,MATCH($A156,Denetimler!$A:$A,0)),"No yok"))</f>
        <v>Mağaza C</v>
      </c>
      <c r="I156" s="19" t="str">
        <f aca="false">IF($A156="","",IFERROR(INDEX(Denetimler!$D:$D,MATCH($A156,Denetimler!$A:$A,0)),"No yok"))</f>
        <v>RSA</v>
      </c>
      <c r="J156" s="19" t="str">
        <f aca="false">IF($A156="","",IFERROR(INDEX(Denetimler!$E:$E,MATCH($A156,Denetimler!$A:$A,0)),"No yok"))</f>
        <v>İç denetim</v>
      </c>
      <c r="K156" s="25" t="n">
        <f aca="false">IF($A156="","",IFERROR(INDEX(Denetimler!$B:$B,MATCH($A156,Denetimler!$A:$A,0)),"No yok"))</f>
        <v>46229</v>
      </c>
    </row>
    <row r="157" customFormat="false" ht="15" hidden="false" customHeight="false" outlineLevel="0" collapsed="false">
      <c r="A157" s="24" t="s">
        <v>186</v>
      </c>
      <c r="B157" s="24" t="s">
        <v>224</v>
      </c>
      <c r="C157" s="24" t="s">
        <v>206</v>
      </c>
      <c r="D157" s="19" t="str">
        <f aca="false">IF($B157="","",IFERROR(INDEX(Madde_Listesi!$C:$C,MATCH($B157,Madde_Listesi!$B:$B,0)),"Kod yok"))</f>
        <v>İptal ve iade işlemleri yönetici onaylı</v>
      </c>
      <c r="E157" s="19" t="str">
        <f aca="false">IF($B157="","",IFERROR(INDEX(Madde_Listesi!$D:$D,MATCH($B157,Madde_Listesi!$B:$B,0)),"Kod yok"))</f>
        <v>İşlem</v>
      </c>
      <c r="F157" s="19" t="str">
        <f aca="false">IF($B157="","",IFERROR(INDEX(Madde_Listesi!$E:$E,MATCH($B157,Madde_Listesi!$B:$B,0)),"Kod yok"))</f>
        <v>Major</v>
      </c>
      <c r="G157" s="19" t="str">
        <f aca="false">IF($B157="","",IFERROR(INDEX(Madde_Listesi!$F:$F,MATCH($B157,Madde_Listesi!$B:$B,0)),"Kod yok"))</f>
        <v>İptal ve iade süreçleri</v>
      </c>
      <c r="H157" s="19" t="str">
        <f aca="false">IF($A157="","",IFERROR(INDEX(Denetimler!$C:$C,MATCH($A157,Denetimler!$A:$A,0)),"No yok"))</f>
        <v>Mağaza D</v>
      </c>
      <c r="I157" s="19" t="str">
        <f aca="false">IF($A157="","",IFERROR(INDEX(Denetimler!$D:$D,MATCH($A157,Denetimler!$A:$A,0)),"No yok"))</f>
        <v>PAP</v>
      </c>
      <c r="J157" s="19" t="str">
        <f aca="false">IF($A157="","",IFERROR(INDEX(Denetimler!$E:$E,MATCH($A157,Denetimler!$A:$A,0)),"No yok"))</f>
        <v>İç denetim</v>
      </c>
      <c r="K157" s="25" t="n">
        <f aca="false">IF($A157="","",IFERROR(INDEX(Denetimler!$B:$B,MATCH($A157,Denetimler!$A:$A,0)),"No yok"))</f>
        <v>46223</v>
      </c>
    </row>
    <row r="158" customFormat="false" ht="15" hidden="false" customHeight="false" outlineLevel="0" collapsed="false">
      <c r="A158" s="24" t="s">
        <v>186</v>
      </c>
      <c r="B158" s="24" t="s">
        <v>224</v>
      </c>
      <c r="C158" s="24" t="s">
        <v>206</v>
      </c>
      <c r="D158" s="19" t="str">
        <f aca="false">IF($B158="","",IFERROR(INDEX(Madde_Listesi!$C:$C,MATCH($B158,Madde_Listesi!$B:$B,0)),"Kod yok"))</f>
        <v>İptal ve iade işlemleri yönetici onaylı</v>
      </c>
      <c r="E158" s="19" t="str">
        <f aca="false">IF($B158="","",IFERROR(INDEX(Madde_Listesi!$D:$D,MATCH($B158,Madde_Listesi!$B:$B,0)),"Kod yok"))</f>
        <v>İşlem</v>
      </c>
      <c r="F158" s="19" t="str">
        <f aca="false">IF($B158="","",IFERROR(INDEX(Madde_Listesi!$E:$E,MATCH($B158,Madde_Listesi!$B:$B,0)),"Kod yok"))</f>
        <v>Major</v>
      </c>
      <c r="G158" s="19" t="str">
        <f aca="false">IF($B158="","",IFERROR(INDEX(Madde_Listesi!$F:$F,MATCH($B158,Madde_Listesi!$B:$B,0)),"Kod yok"))</f>
        <v>İptal ve iade süreçleri</v>
      </c>
      <c r="H158" s="19" t="str">
        <f aca="false">IF($A158="","",IFERROR(INDEX(Denetimler!$C:$C,MATCH($A158,Denetimler!$A:$A,0)),"No yok"))</f>
        <v>Mağaza D</v>
      </c>
      <c r="I158" s="19" t="str">
        <f aca="false">IF($A158="","",IFERROR(INDEX(Denetimler!$D:$D,MATCH($A158,Denetimler!$A:$A,0)),"No yok"))</f>
        <v>PAP</v>
      </c>
      <c r="J158" s="19" t="str">
        <f aca="false">IF($A158="","",IFERROR(INDEX(Denetimler!$E:$E,MATCH($A158,Denetimler!$A:$A,0)),"No yok"))</f>
        <v>İç denetim</v>
      </c>
      <c r="K158" s="25" t="n">
        <f aca="false">IF($A158="","",IFERROR(INDEX(Denetimler!$B:$B,MATCH($A158,Denetimler!$A:$A,0)),"No yok"))</f>
        <v>46223</v>
      </c>
    </row>
    <row r="159" customFormat="false" ht="15" hidden="false" customHeight="false" outlineLevel="0" collapsed="false">
      <c r="A159" s="24" t="s">
        <v>186</v>
      </c>
      <c r="B159" s="24" t="s">
        <v>225</v>
      </c>
      <c r="C159" s="24" t="s">
        <v>206</v>
      </c>
      <c r="D159" s="19" t="str">
        <f aca="false">IF($B159="","",IFERROR(INDEX(Madde_Listesi!$C:$C,MATCH($B159,Madde_Listesi!$B:$B,0)),"Kod yok"))</f>
        <v>Fire ve zayi kayıtları belgeli</v>
      </c>
      <c r="E159" s="19" t="str">
        <f aca="false">IF($B159="","",IFERROR(INDEX(Madde_Listesi!$D:$D,MATCH($B159,Madde_Listesi!$B:$B,0)),"Kod yok"))</f>
        <v>Stok</v>
      </c>
      <c r="F159" s="19" t="str">
        <f aca="false">IF($B159="","",IFERROR(INDEX(Madde_Listesi!$E:$E,MATCH($B159,Madde_Listesi!$B:$B,0)),"Kod yok"))</f>
        <v>Major</v>
      </c>
      <c r="G159" s="19" t="str">
        <f aca="false">IF($B159="","",IFERROR(INDEX(Madde_Listesi!$F:$F,MATCH($B159,Madde_Listesi!$B:$B,0)),"Kod yok"))</f>
        <v>Stok ve sipariş yönetimi</v>
      </c>
      <c r="H159" s="19" t="str">
        <f aca="false">IF($A159="","",IFERROR(INDEX(Denetimler!$C:$C,MATCH($A159,Denetimler!$A:$A,0)),"No yok"))</f>
        <v>Mağaza D</v>
      </c>
      <c r="I159" s="19" t="str">
        <f aca="false">IF($A159="","",IFERROR(INDEX(Denetimler!$D:$D,MATCH($A159,Denetimler!$A:$A,0)),"No yok"))</f>
        <v>PAP</v>
      </c>
      <c r="J159" s="19" t="str">
        <f aca="false">IF($A159="","",IFERROR(INDEX(Denetimler!$E:$E,MATCH($A159,Denetimler!$A:$A,0)),"No yok"))</f>
        <v>İç denetim</v>
      </c>
      <c r="K159" s="25" t="n">
        <f aca="false">IF($A159="","",IFERROR(INDEX(Denetimler!$B:$B,MATCH($A159,Denetimler!$A:$A,0)),"No yok"))</f>
        <v>46223</v>
      </c>
    </row>
    <row r="160" customFormat="false" ht="15" hidden="false" customHeight="false" outlineLevel="0" collapsed="false">
      <c r="A160" s="24" t="s">
        <v>186</v>
      </c>
      <c r="B160" s="24" t="s">
        <v>226</v>
      </c>
      <c r="C160" s="24" t="s">
        <v>206</v>
      </c>
      <c r="D160" s="19" t="str">
        <f aca="false">IF($B160="","",IFERROR(INDEX(Madde_Listesi!$C:$C,MATCH($B160,Madde_Listesi!$B:$B,0)),"Kod yok"))</f>
        <v>Kasa farkları kayıt altına alınmış ve açıklanmış</v>
      </c>
      <c r="E160" s="19" t="str">
        <f aca="false">IF($B160="","",IFERROR(INDEX(Madde_Listesi!$D:$D,MATCH($B160,Madde_Listesi!$B:$B,0)),"Kod yok"))</f>
        <v>Nakit</v>
      </c>
      <c r="F160" s="19" t="str">
        <f aca="false">IF($B160="","",IFERROR(INDEX(Madde_Listesi!$E:$E,MATCH($B160,Madde_Listesi!$B:$B,0)),"Kod yok"))</f>
        <v>Kritik</v>
      </c>
      <c r="G160" s="19" t="str">
        <f aca="false">IF($B160="","",IFERROR(INDEX(Madde_Listesi!$F:$F,MATCH($B160,Madde_Listesi!$B:$B,0)),"Kod yok"))</f>
        <v>Kasa prosedürleri</v>
      </c>
      <c r="H160" s="19" t="str">
        <f aca="false">IF($A160="","",IFERROR(INDEX(Denetimler!$C:$C,MATCH($A160,Denetimler!$A:$A,0)),"No yok"))</f>
        <v>Mağaza D</v>
      </c>
      <c r="I160" s="19" t="str">
        <f aca="false">IF($A160="","",IFERROR(INDEX(Denetimler!$D:$D,MATCH($A160,Denetimler!$A:$A,0)),"No yok"))</f>
        <v>PAP</v>
      </c>
      <c r="J160" s="19" t="str">
        <f aca="false">IF($A160="","",IFERROR(INDEX(Denetimler!$E:$E,MATCH($A160,Denetimler!$A:$A,0)),"No yok"))</f>
        <v>İç denetim</v>
      </c>
      <c r="K160" s="25" t="n">
        <f aca="false">IF($A160="","",IFERROR(INDEX(Denetimler!$B:$B,MATCH($A160,Denetimler!$A:$A,0)),"No yok"))</f>
        <v>46223</v>
      </c>
    </row>
    <row r="161" customFormat="false" ht="15" hidden="false" customHeight="false" outlineLevel="0" collapsed="false">
      <c r="A161" s="24" t="s">
        <v>186</v>
      </c>
      <c r="B161" s="24" t="s">
        <v>225</v>
      </c>
      <c r="C161" s="24" t="s">
        <v>206</v>
      </c>
      <c r="D161" s="19" t="str">
        <f aca="false">IF($B161="","",IFERROR(INDEX(Madde_Listesi!$C:$C,MATCH($B161,Madde_Listesi!$B:$B,0)),"Kod yok"))</f>
        <v>Fire ve zayi kayıtları belgeli</v>
      </c>
      <c r="E161" s="19" t="str">
        <f aca="false">IF($B161="","",IFERROR(INDEX(Madde_Listesi!$D:$D,MATCH($B161,Madde_Listesi!$B:$B,0)),"Kod yok"))</f>
        <v>Stok</v>
      </c>
      <c r="F161" s="19" t="str">
        <f aca="false">IF($B161="","",IFERROR(INDEX(Madde_Listesi!$E:$E,MATCH($B161,Madde_Listesi!$B:$B,0)),"Kod yok"))</f>
        <v>Major</v>
      </c>
      <c r="G161" s="19" t="str">
        <f aca="false">IF($B161="","",IFERROR(INDEX(Madde_Listesi!$F:$F,MATCH($B161,Madde_Listesi!$B:$B,0)),"Kod yok"))</f>
        <v>Stok ve sipariş yönetimi</v>
      </c>
      <c r="H161" s="19" t="str">
        <f aca="false">IF($A161="","",IFERROR(INDEX(Denetimler!$C:$C,MATCH($A161,Denetimler!$A:$A,0)),"No yok"))</f>
        <v>Mağaza D</v>
      </c>
      <c r="I161" s="19" t="str">
        <f aca="false">IF($A161="","",IFERROR(INDEX(Denetimler!$D:$D,MATCH($A161,Denetimler!$A:$A,0)),"No yok"))</f>
        <v>PAP</v>
      </c>
      <c r="J161" s="19" t="str">
        <f aca="false">IF($A161="","",IFERROR(INDEX(Denetimler!$E:$E,MATCH($A161,Denetimler!$A:$A,0)),"No yok"))</f>
        <v>İç denetim</v>
      </c>
      <c r="K161" s="25" t="n">
        <f aca="false">IF($A161="","",IFERROR(INDEX(Denetimler!$B:$B,MATCH($A161,Denetimler!$A:$A,0)),"No yok"))</f>
        <v>46223</v>
      </c>
    </row>
    <row r="162" customFormat="false" ht="15" hidden="false" customHeight="false" outlineLevel="0" collapsed="false">
      <c r="A162" s="24" t="s">
        <v>186</v>
      </c>
      <c r="B162" s="24" t="s">
        <v>226</v>
      </c>
      <c r="C162" s="24" t="s">
        <v>206</v>
      </c>
      <c r="D162" s="19" t="str">
        <f aca="false">IF($B162="","",IFERROR(INDEX(Madde_Listesi!$C:$C,MATCH($B162,Madde_Listesi!$B:$B,0)),"Kod yok"))</f>
        <v>Kasa farkları kayıt altına alınmış ve açıklanmış</v>
      </c>
      <c r="E162" s="19" t="str">
        <f aca="false">IF($B162="","",IFERROR(INDEX(Madde_Listesi!$D:$D,MATCH($B162,Madde_Listesi!$B:$B,0)),"Kod yok"))</f>
        <v>Nakit</v>
      </c>
      <c r="F162" s="19" t="str">
        <f aca="false">IF($B162="","",IFERROR(INDEX(Madde_Listesi!$E:$E,MATCH($B162,Madde_Listesi!$B:$B,0)),"Kod yok"))</f>
        <v>Kritik</v>
      </c>
      <c r="G162" s="19" t="str">
        <f aca="false">IF($B162="","",IFERROR(INDEX(Madde_Listesi!$F:$F,MATCH($B162,Madde_Listesi!$B:$B,0)),"Kod yok"))</f>
        <v>Kasa prosedürleri</v>
      </c>
      <c r="H162" s="19" t="str">
        <f aca="false">IF($A162="","",IFERROR(INDEX(Denetimler!$C:$C,MATCH($A162,Denetimler!$A:$A,0)),"No yok"))</f>
        <v>Mağaza D</v>
      </c>
      <c r="I162" s="19" t="str">
        <f aca="false">IF($A162="","",IFERROR(INDEX(Denetimler!$D:$D,MATCH($A162,Denetimler!$A:$A,0)),"No yok"))</f>
        <v>PAP</v>
      </c>
      <c r="J162" s="19" t="str">
        <f aca="false">IF($A162="","",IFERROR(INDEX(Denetimler!$E:$E,MATCH($A162,Denetimler!$A:$A,0)),"No yok"))</f>
        <v>İç denetim</v>
      </c>
      <c r="K162" s="25" t="n">
        <f aca="false">IF($A162="","",IFERROR(INDEX(Denetimler!$B:$B,MATCH($A162,Denetimler!$A:$A,0)),"No yok"))</f>
        <v>46223</v>
      </c>
    </row>
    <row r="163" customFormat="false" ht="15" hidden="false" customHeight="false" outlineLevel="0" collapsed="false">
      <c r="A163" s="24" t="s">
        <v>185</v>
      </c>
      <c r="B163" s="24" t="s">
        <v>212</v>
      </c>
      <c r="C163" s="24" t="s">
        <v>206</v>
      </c>
      <c r="D163" s="19" t="str">
        <f aca="false">IF($B163="","",IFERROR(INDEX(Madde_Listesi!$C:$C,MATCH($B163,Madde_Listesi!$B:$B,0)),"Kod yok"))</f>
        <v>Gıdayla temas eden yüzeyler temiz ve dezenfekte</v>
      </c>
      <c r="E163" s="19" t="str">
        <f aca="false">IF($B163="","",IFERROR(INDEX(Madde_Listesi!$D:$D,MATCH($B163,Madde_Listesi!$B:$B,0)),"Kod yok"))</f>
        <v>Bulaşma</v>
      </c>
      <c r="F163" s="19" t="str">
        <f aca="false">IF($B163="","",IFERROR(INDEX(Madde_Listesi!$E:$E,MATCH($B163,Madde_Listesi!$B:$B,0)),"Kod yok"))</f>
        <v>Major</v>
      </c>
      <c r="G163" s="19" t="str">
        <f aca="false">IF($B163="","",IFERROR(INDEX(Madde_Listesi!$F:$F,MATCH($B163,Madde_Listesi!$B:$B,0)),"Kod yok"))</f>
        <v>Temizlik ve dezenfeksiyon</v>
      </c>
      <c r="H163" s="19" t="str">
        <f aca="false">IF($A163="","",IFERROR(INDEX(Denetimler!$C:$C,MATCH($A163,Denetimler!$A:$A,0)),"No yok"))</f>
        <v>Mağaza D</v>
      </c>
      <c r="I163" s="19" t="str">
        <f aca="false">IF($A163="","",IFERROR(INDEX(Denetimler!$D:$D,MATCH($A163,Denetimler!$A:$A,0)),"No yok"))</f>
        <v>RSA</v>
      </c>
      <c r="J163" s="19" t="str">
        <f aca="false">IF($A163="","",IFERROR(INDEX(Denetimler!$E:$E,MATCH($A163,Denetimler!$A:$A,0)),"No yok"))</f>
        <v>İç denetim</v>
      </c>
      <c r="K163" s="25" t="n">
        <f aca="false">IF($A163="","",IFERROR(INDEX(Denetimler!$B:$B,MATCH($A163,Denetimler!$A:$A,0)),"No yok"))</f>
        <v>46220</v>
      </c>
    </row>
    <row r="164" customFormat="false" ht="15" hidden="false" customHeight="false" outlineLevel="0" collapsed="false">
      <c r="A164" s="24" t="s">
        <v>185</v>
      </c>
      <c r="B164" s="24" t="s">
        <v>214</v>
      </c>
      <c r="C164" s="24" t="s">
        <v>206</v>
      </c>
      <c r="D164" s="19" t="str">
        <f aca="false">IF($B164="","",IFERROR(INDEX(Madde_Listesi!$C:$C,MATCH($B164,Madde_Listesi!$B:$B,0)),"Kod yok"))</f>
        <v>Sıcaklık kayıtları tam ve zamanında tutulmuş</v>
      </c>
      <c r="E164" s="19" t="str">
        <f aca="false">IF($B164="","",IFERROR(INDEX(Madde_Listesi!$D:$D,MATCH($B164,Madde_Listesi!$B:$B,0)),"Kod yok"))</f>
        <v>Sıcaklık</v>
      </c>
      <c r="F164" s="19" t="str">
        <f aca="false">IF($B164="","",IFERROR(INDEX(Madde_Listesi!$E:$E,MATCH($B164,Madde_Listesi!$B:$B,0)),"Kod yok"))</f>
        <v>Major</v>
      </c>
      <c r="G164" s="19" t="str">
        <f aca="false">IF($B164="","",IFERROR(INDEX(Madde_Listesi!$F:$F,MATCH($B164,Madde_Listesi!$B:$B,0)),"Kod yok"))</f>
        <v>Soğuk zincir ve sıcaklık kontrolü</v>
      </c>
      <c r="H164" s="19" t="str">
        <f aca="false">IF($A164="","",IFERROR(INDEX(Denetimler!$C:$C,MATCH($A164,Denetimler!$A:$A,0)),"No yok"))</f>
        <v>Mağaza D</v>
      </c>
      <c r="I164" s="19" t="str">
        <f aca="false">IF($A164="","",IFERROR(INDEX(Denetimler!$D:$D,MATCH($A164,Denetimler!$A:$A,0)),"No yok"))</f>
        <v>RSA</v>
      </c>
      <c r="J164" s="19" t="str">
        <f aca="false">IF($A164="","",IFERROR(INDEX(Denetimler!$E:$E,MATCH($A164,Denetimler!$A:$A,0)),"No yok"))</f>
        <v>İç denetim</v>
      </c>
      <c r="K164" s="25" t="n">
        <f aca="false">IF($A164="","",IFERROR(INDEX(Denetimler!$B:$B,MATCH($A164,Denetimler!$A:$A,0)),"No yok"))</f>
        <v>46220</v>
      </c>
    </row>
    <row r="165" customFormat="false" ht="15" hidden="false" customHeight="false" outlineLevel="0" collapsed="false">
      <c r="A165" s="24" t="s">
        <v>185</v>
      </c>
      <c r="B165" s="24" t="s">
        <v>227</v>
      </c>
      <c r="C165" s="24" t="s">
        <v>206</v>
      </c>
      <c r="D165" s="19" t="str">
        <f aca="false">IF($B165="","",IFERROR(INDEX(Madde_Listesi!$C:$C,MATCH($B165,Madde_Listesi!$B:$B,0)),"Kod yok"))</f>
        <v>Dezenfektan konsantrasyonu test şeridiyle kontrol ediliyor</v>
      </c>
      <c r="E165" s="19" t="str">
        <f aca="false">IF($B165="","",IFERROR(INDEX(Madde_Listesi!$D:$D,MATCH($B165,Madde_Listesi!$B:$B,0)),"Kod yok"))</f>
        <v>Bulaşma</v>
      </c>
      <c r="F165" s="19" t="str">
        <f aca="false">IF($B165="","",IFERROR(INDEX(Madde_Listesi!$E:$E,MATCH($B165,Madde_Listesi!$B:$B,0)),"Kod yok"))</f>
        <v>Minör</v>
      </c>
      <c r="G165" s="19" t="str">
        <f aca="false">IF($B165="","",IFERROR(INDEX(Madde_Listesi!$F:$F,MATCH($B165,Madde_Listesi!$B:$B,0)),"Kod yok"))</f>
        <v>Temizlik ve dezenfeksiyon</v>
      </c>
      <c r="H165" s="19" t="str">
        <f aca="false">IF($A165="","",IFERROR(INDEX(Denetimler!$C:$C,MATCH($A165,Denetimler!$A:$A,0)),"No yok"))</f>
        <v>Mağaza D</v>
      </c>
      <c r="I165" s="19" t="str">
        <f aca="false">IF($A165="","",IFERROR(INDEX(Denetimler!$D:$D,MATCH($A165,Denetimler!$A:$A,0)),"No yok"))</f>
        <v>RSA</v>
      </c>
      <c r="J165" s="19" t="str">
        <f aca="false">IF($A165="","",IFERROR(INDEX(Denetimler!$E:$E,MATCH($A165,Denetimler!$A:$A,0)),"No yok"))</f>
        <v>İç denetim</v>
      </c>
      <c r="K165" s="25" t="n">
        <f aca="false">IF($A165="","",IFERROR(INDEX(Denetimler!$B:$B,MATCH($A165,Denetimler!$A:$A,0)),"No yok"))</f>
        <v>46220</v>
      </c>
    </row>
    <row r="166" customFormat="false" ht="15" hidden="false" customHeight="false" outlineLevel="0" collapsed="false">
      <c r="A166" s="24" t="s">
        <v>185</v>
      </c>
      <c r="B166" s="24" t="s">
        <v>222</v>
      </c>
      <c r="C166" s="24" t="s">
        <v>206</v>
      </c>
      <c r="D166" s="19" t="str">
        <f aca="false">IF($B166="","",IFERROR(INDEX(Madde_Listesi!$C:$C,MATCH($B166,Madde_Listesi!$B:$B,0)),"Kod yok"))</f>
        <v>Çalışan takı ve kişisel hijyen kurallarına uyuyor</v>
      </c>
      <c r="E166" s="19" t="str">
        <f aca="false">IF($B166="","",IFERROR(INDEX(Madde_Listesi!$D:$D,MATCH($B166,Madde_Listesi!$B:$B,0)),"Kod yok"))</f>
        <v>Partner</v>
      </c>
      <c r="F166" s="19" t="str">
        <f aca="false">IF($B166="","",IFERROR(INDEX(Madde_Listesi!$E:$E,MATCH($B166,Madde_Listesi!$B:$B,0)),"Kod yok"))</f>
        <v>Major</v>
      </c>
      <c r="G166" s="19" t="str">
        <f aca="false">IF($B166="","",IFERROR(INDEX(Madde_Listesi!$F:$F,MATCH($B166,Madde_Listesi!$B:$B,0)),"Kod yok"))</f>
        <v>Kişisel hijyen</v>
      </c>
      <c r="H166" s="19" t="str">
        <f aca="false">IF($A166="","",IFERROR(INDEX(Denetimler!$C:$C,MATCH($A166,Denetimler!$A:$A,0)),"No yok"))</f>
        <v>Mağaza D</v>
      </c>
      <c r="I166" s="19" t="str">
        <f aca="false">IF($A166="","",IFERROR(INDEX(Denetimler!$D:$D,MATCH($A166,Denetimler!$A:$A,0)),"No yok"))</f>
        <v>RSA</v>
      </c>
      <c r="J166" s="19" t="str">
        <f aca="false">IF($A166="","",IFERROR(INDEX(Denetimler!$E:$E,MATCH($A166,Denetimler!$A:$A,0)),"No yok"))</f>
        <v>İç denetim</v>
      </c>
      <c r="K166" s="25" t="n">
        <f aca="false">IF($A166="","",IFERROR(INDEX(Denetimler!$B:$B,MATCH($A166,Denetimler!$A:$A,0)),"No yok"))</f>
        <v>46220</v>
      </c>
    </row>
    <row r="167" customFormat="false" ht="15" hidden="false" customHeight="false" outlineLevel="0" collapsed="false">
      <c r="A167" s="24" t="s">
        <v>196</v>
      </c>
      <c r="B167" s="24" t="s">
        <v>205</v>
      </c>
      <c r="C167" s="24" t="s">
        <v>206</v>
      </c>
      <c r="D167" s="19" t="str">
        <f aca="false">IF($B167="","",IFERROR(INDEX(Madde_Listesi!$C:$C,MATCH($B167,Madde_Listesi!$B:$B,0)),"Kod yok"))</f>
        <v>Stok sayımı ve sipariş kayıtları tutarlı</v>
      </c>
      <c r="E167" s="19" t="str">
        <f aca="false">IF($B167="","",IFERROR(INDEX(Madde_Listesi!$D:$D,MATCH($B167,Madde_Listesi!$B:$B,0)),"Kod yok"))</f>
        <v>Stok</v>
      </c>
      <c r="F167" s="19" t="str">
        <f aca="false">IF($B167="","",IFERROR(INDEX(Madde_Listesi!$E:$E,MATCH($B167,Madde_Listesi!$B:$B,0)),"Kod yok"))</f>
        <v>Major</v>
      </c>
      <c r="G167" s="19" t="str">
        <f aca="false">IF($B167="","",IFERROR(INDEX(Madde_Listesi!$F:$F,MATCH($B167,Madde_Listesi!$B:$B,0)),"Kod yok"))</f>
        <v>Stok ve sipariş yönetimi</v>
      </c>
      <c r="H167" s="19" t="str">
        <f aca="false">IF($A167="","",IFERROR(INDEX(Denetimler!$C:$C,MATCH($A167,Denetimler!$A:$A,0)),"No yok"))</f>
        <v>Mağaza E</v>
      </c>
      <c r="I167" s="19" t="str">
        <f aca="false">IF($A167="","",IFERROR(INDEX(Denetimler!$D:$D,MATCH($A167,Denetimler!$A:$A,0)),"No yok"))</f>
        <v>ASA</v>
      </c>
      <c r="J167" s="19" t="str">
        <f aca="false">IF($A167="","",IFERROR(INDEX(Denetimler!$E:$E,MATCH($A167,Denetimler!$A:$A,0)),"No yok"))</f>
        <v>İç denetim</v>
      </c>
      <c r="K167" s="25" t="n">
        <f aca="false">IF($A167="","",IFERROR(INDEX(Denetimler!$B:$B,MATCH($A167,Denetimler!$A:$A,0)),"No yok"))</f>
        <v>46249</v>
      </c>
    </row>
    <row r="168" customFormat="false" ht="15" hidden="false" customHeight="false" outlineLevel="0" collapsed="false">
      <c r="A168" s="24" t="s">
        <v>196</v>
      </c>
      <c r="B168" s="24" t="s">
        <v>215</v>
      </c>
      <c r="C168" s="24" t="s">
        <v>206</v>
      </c>
      <c r="D168" s="19" t="str">
        <f aca="false">IF($B168="","",IFERROR(INDEX(Madde_Listesi!$C:$C,MATCH($B168,Madde_Listesi!$B:$B,0)),"Kod yok"))</f>
        <v>Ekipman bakım kayıtları güncel</v>
      </c>
      <c r="E168" s="19" t="str">
        <f aca="false">IF($B168="","",IFERROR(INDEX(Madde_Listesi!$D:$D,MATCH($B168,Madde_Listesi!$B:$B,0)),"Kod yok"))</f>
        <v>Ekipman</v>
      </c>
      <c r="F168" s="19" t="str">
        <f aca="false">IF($B168="","",IFERROR(INDEX(Madde_Listesi!$E:$E,MATCH($B168,Madde_Listesi!$B:$B,0)),"Kod yok"))</f>
        <v>Minör</v>
      </c>
      <c r="G168" s="19" t="str">
        <f aca="false">IF($B168="","",IFERROR(INDEX(Madde_Listesi!$F:$F,MATCH($B168,Madde_Listesi!$B:$B,0)),"Kod yok"))</f>
        <v>Ekipman bakımı</v>
      </c>
      <c r="H168" s="19" t="str">
        <f aca="false">IF($A168="","",IFERROR(INDEX(Denetimler!$C:$C,MATCH($A168,Denetimler!$A:$A,0)),"No yok"))</f>
        <v>Mağaza E</v>
      </c>
      <c r="I168" s="19" t="str">
        <f aca="false">IF($A168="","",IFERROR(INDEX(Denetimler!$D:$D,MATCH($A168,Denetimler!$A:$A,0)),"No yok"))</f>
        <v>ASA</v>
      </c>
      <c r="J168" s="19" t="str">
        <f aca="false">IF($A168="","",IFERROR(INDEX(Denetimler!$E:$E,MATCH($A168,Denetimler!$A:$A,0)),"No yok"))</f>
        <v>İç denetim</v>
      </c>
      <c r="K168" s="25" t="n">
        <f aca="false">IF($A168="","",IFERROR(INDEX(Denetimler!$B:$B,MATCH($A168,Denetimler!$A:$A,0)),"No yok"))</f>
        <v>46249</v>
      </c>
    </row>
    <row r="169" customFormat="false" ht="15" hidden="false" customHeight="false" outlineLevel="0" collapsed="false">
      <c r="A169" s="24" t="s">
        <v>198</v>
      </c>
      <c r="B169" s="24" t="s">
        <v>228</v>
      </c>
      <c r="C169" s="24" t="s">
        <v>206</v>
      </c>
      <c r="D169" s="19" t="str">
        <f aca="false">IF($B169="","",IFERROR(INDEX(Madde_Listesi!$C:$C,MATCH($B169,Madde_Listesi!$B:$B,0)),"Kod yok"))</f>
        <v>Personel indirimleri kurala uygun kullanılıyor</v>
      </c>
      <c r="E169" s="19" t="str">
        <f aca="false">IF($B169="","",IFERROR(INDEX(Madde_Listesi!$D:$D,MATCH($B169,Madde_Listesi!$B:$B,0)),"Kod yok"))</f>
        <v>İşlem</v>
      </c>
      <c r="F169" s="19" t="str">
        <f aca="false">IF($B169="","",IFERROR(INDEX(Madde_Listesi!$E:$E,MATCH($B169,Madde_Listesi!$B:$B,0)),"Kod yok"))</f>
        <v>Minör</v>
      </c>
      <c r="G169" s="19" t="str">
        <f aca="false">IF($B169="","",IFERROR(INDEX(Madde_Listesi!$F:$F,MATCH($B169,Madde_Listesi!$B:$B,0)),"Kod yok"))</f>
        <v>İptal ve iade süreçleri</v>
      </c>
      <c r="H169" s="19" t="str">
        <f aca="false">IF($A169="","",IFERROR(INDEX(Denetimler!$C:$C,MATCH($A169,Denetimler!$A:$A,0)),"No yok"))</f>
        <v>Mağaza E</v>
      </c>
      <c r="I169" s="19" t="str">
        <f aca="false">IF($A169="","",IFERROR(INDEX(Denetimler!$D:$D,MATCH($A169,Denetimler!$A:$A,0)),"No yok"))</f>
        <v>PAP</v>
      </c>
      <c r="J169" s="19" t="str">
        <f aca="false">IF($A169="","",IFERROR(INDEX(Denetimler!$E:$E,MATCH($A169,Denetimler!$A:$A,0)),"No yok"))</f>
        <v>İç denetim</v>
      </c>
      <c r="K169" s="25" t="n">
        <f aca="false">IF($A169="","",IFERROR(INDEX(Denetimler!$B:$B,MATCH($A169,Denetimler!$A:$A,0)),"No yok"))</f>
        <v>46253</v>
      </c>
    </row>
    <row r="170" customFormat="false" ht="15" hidden="false" customHeight="false" outlineLevel="0" collapsed="false">
      <c r="A170" s="24" t="s">
        <v>187</v>
      </c>
      <c r="B170" s="24" t="s">
        <v>208</v>
      </c>
      <c r="C170" s="24" t="s">
        <v>206</v>
      </c>
      <c r="D170" s="19" t="str">
        <f aca="false">IF($B170="","",IFERROR(INDEX(Madde_Listesi!$C:$C,MATCH($B170,Madde_Listesi!$B:$B,0)),"Kod yok"))</f>
        <v>Salon ve misafir alanı temiz ve düzenli</v>
      </c>
      <c r="E170" s="19" t="str">
        <f aca="false">IF($B170="","",IFERROR(INDEX(Madde_Listesi!$D:$D,MATCH($B170,Madde_Listesi!$B:$B,0)),"Kod yok"))</f>
        <v>Misafir deneyimi</v>
      </c>
      <c r="F170" s="19" t="str">
        <f aca="false">IF($B170="","",IFERROR(INDEX(Madde_Listesi!$E:$E,MATCH($B170,Madde_Listesi!$B:$B,0)),"Kod yok"))</f>
        <v>Minör</v>
      </c>
      <c r="G170" s="19" t="str">
        <f aca="false">IF($B170="","",IFERROR(INDEX(Madde_Listesi!$F:$F,MATCH($B170,Madde_Listesi!$B:$B,0)),"Kod yok"))</f>
        <v>Mağaza standartları</v>
      </c>
      <c r="H170" s="19" t="str">
        <f aca="false">IF($A170="","",IFERROR(INDEX(Denetimler!$C:$C,MATCH($A170,Denetimler!$A:$A,0)),"No yok"))</f>
        <v>Mağaza F</v>
      </c>
      <c r="I170" s="19" t="str">
        <f aca="false">IF($A170="","",IFERROR(INDEX(Denetimler!$D:$D,MATCH($A170,Denetimler!$A:$A,0)),"No yok"))</f>
        <v>ASA</v>
      </c>
      <c r="J170" s="19" t="str">
        <f aca="false">IF($A170="","",IFERROR(INDEX(Denetimler!$E:$E,MATCH($A170,Denetimler!$A:$A,0)),"No yok"))</f>
        <v>İç denetim</v>
      </c>
      <c r="K170" s="25" t="n">
        <f aca="false">IF($A170="","",IFERROR(INDEX(Denetimler!$B:$B,MATCH($A170,Denetimler!$A:$A,0)),"No yok"))</f>
        <v>46227</v>
      </c>
    </row>
    <row r="171" customFormat="false" ht="15" hidden="false" customHeight="false" outlineLevel="0" collapsed="false">
      <c r="A171" s="24" t="s">
        <v>187</v>
      </c>
      <c r="B171" s="24" t="s">
        <v>208</v>
      </c>
      <c r="C171" s="24" t="s">
        <v>206</v>
      </c>
      <c r="D171" s="19" t="str">
        <f aca="false">IF($B171="","",IFERROR(INDEX(Madde_Listesi!$C:$C,MATCH($B171,Madde_Listesi!$B:$B,0)),"Kod yok"))</f>
        <v>Salon ve misafir alanı temiz ve düzenli</v>
      </c>
      <c r="E171" s="19" t="str">
        <f aca="false">IF($B171="","",IFERROR(INDEX(Madde_Listesi!$D:$D,MATCH($B171,Madde_Listesi!$B:$B,0)),"Kod yok"))</f>
        <v>Misafir deneyimi</v>
      </c>
      <c r="F171" s="19" t="str">
        <f aca="false">IF($B171="","",IFERROR(INDEX(Madde_Listesi!$E:$E,MATCH($B171,Madde_Listesi!$B:$B,0)),"Kod yok"))</f>
        <v>Minör</v>
      </c>
      <c r="G171" s="19" t="str">
        <f aca="false">IF($B171="","",IFERROR(INDEX(Madde_Listesi!$F:$F,MATCH($B171,Madde_Listesi!$B:$B,0)),"Kod yok"))</f>
        <v>Mağaza standartları</v>
      </c>
      <c r="H171" s="19" t="str">
        <f aca="false">IF($A171="","",IFERROR(INDEX(Denetimler!$C:$C,MATCH($A171,Denetimler!$A:$A,0)),"No yok"))</f>
        <v>Mağaza F</v>
      </c>
      <c r="I171" s="19" t="str">
        <f aca="false">IF($A171="","",IFERROR(INDEX(Denetimler!$D:$D,MATCH($A171,Denetimler!$A:$A,0)),"No yok"))</f>
        <v>ASA</v>
      </c>
      <c r="J171" s="19" t="str">
        <f aca="false">IF($A171="","",IFERROR(INDEX(Denetimler!$E:$E,MATCH($A171,Denetimler!$A:$A,0)),"No yok"))</f>
        <v>İç denetim</v>
      </c>
      <c r="K171" s="25" t="n">
        <f aca="false">IF($A171="","",IFERROR(INDEX(Denetimler!$B:$B,MATCH($A171,Denetimler!$A:$A,0)),"No yok"))</f>
        <v>46227</v>
      </c>
    </row>
    <row r="172" customFormat="false" ht="15" hidden="false" customHeight="false" outlineLevel="0" collapsed="false">
      <c r="A172" s="24" t="s">
        <v>187</v>
      </c>
      <c r="B172" s="24" t="s">
        <v>208</v>
      </c>
      <c r="C172" s="24" t="s">
        <v>206</v>
      </c>
      <c r="D172" s="19" t="str">
        <f aca="false">IF($B172="","",IFERROR(INDEX(Madde_Listesi!$C:$C,MATCH($B172,Madde_Listesi!$B:$B,0)),"Kod yok"))</f>
        <v>Salon ve misafir alanı temiz ve düzenli</v>
      </c>
      <c r="E172" s="19" t="str">
        <f aca="false">IF($B172="","",IFERROR(INDEX(Madde_Listesi!$D:$D,MATCH($B172,Madde_Listesi!$B:$B,0)),"Kod yok"))</f>
        <v>Misafir deneyimi</v>
      </c>
      <c r="F172" s="19" t="str">
        <f aca="false">IF($B172="","",IFERROR(INDEX(Madde_Listesi!$E:$E,MATCH($B172,Madde_Listesi!$B:$B,0)),"Kod yok"))</f>
        <v>Minör</v>
      </c>
      <c r="G172" s="19" t="str">
        <f aca="false">IF($B172="","",IFERROR(INDEX(Madde_Listesi!$F:$F,MATCH($B172,Madde_Listesi!$B:$B,0)),"Kod yok"))</f>
        <v>Mağaza standartları</v>
      </c>
      <c r="H172" s="19" t="str">
        <f aca="false">IF($A172="","",IFERROR(INDEX(Denetimler!$C:$C,MATCH($A172,Denetimler!$A:$A,0)),"No yok"))</f>
        <v>Mağaza F</v>
      </c>
      <c r="I172" s="19" t="str">
        <f aca="false">IF($A172="","",IFERROR(INDEX(Denetimler!$D:$D,MATCH($A172,Denetimler!$A:$A,0)),"No yok"))</f>
        <v>ASA</v>
      </c>
      <c r="J172" s="19" t="str">
        <f aca="false">IF($A172="","",IFERROR(INDEX(Denetimler!$E:$E,MATCH($A172,Denetimler!$A:$A,0)),"No yok"))</f>
        <v>İç denetim</v>
      </c>
      <c r="K172" s="25" t="n">
        <f aca="false">IF($A172="","",IFERROR(INDEX(Denetimler!$B:$B,MATCH($A172,Denetimler!$A:$A,0)),"No yok"))</f>
        <v>46227</v>
      </c>
    </row>
    <row r="173" customFormat="false" ht="15" hidden="false" customHeight="false" outlineLevel="0" collapsed="false">
      <c r="A173" s="24" t="s">
        <v>199</v>
      </c>
      <c r="B173" s="24" t="s">
        <v>224</v>
      </c>
      <c r="C173" s="24" t="s">
        <v>206</v>
      </c>
      <c r="D173" s="19" t="str">
        <f aca="false">IF($B173="","",IFERROR(INDEX(Madde_Listesi!$C:$C,MATCH($B173,Madde_Listesi!$B:$B,0)),"Kod yok"))</f>
        <v>İptal ve iade işlemleri yönetici onaylı</v>
      </c>
      <c r="E173" s="19" t="str">
        <f aca="false">IF($B173="","",IFERROR(INDEX(Madde_Listesi!$D:$D,MATCH($B173,Madde_Listesi!$B:$B,0)),"Kod yok"))</f>
        <v>İşlem</v>
      </c>
      <c r="F173" s="19" t="str">
        <f aca="false">IF($B173="","",IFERROR(INDEX(Madde_Listesi!$E:$E,MATCH($B173,Madde_Listesi!$B:$B,0)),"Kod yok"))</f>
        <v>Major</v>
      </c>
      <c r="G173" s="19" t="str">
        <f aca="false">IF($B173="","",IFERROR(INDEX(Madde_Listesi!$F:$F,MATCH($B173,Madde_Listesi!$B:$B,0)),"Kod yok"))</f>
        <v>İptal ve iade süreçleri</v>
      </c>
      <c r="H173" s="19" t="str">
        <f aca="false">IF($A173="","",IFERROR(INDEX(Denetimler!$C:$C,MATCH($A173,Denetimler!$A:$A,0)),"No yok"))</f>
        <v>Mağaza F</v>
      </c>
      <c r="I173" s="19" t="str">
        <f aca="false">IF($A173="","",IFERROR(INDEX(Denetimler!$D:$D,MATCH($A173,Denetimler!$A:$A,0)),"No yok"))</f>
        <v>PAP</v>
      </c>
      <c r="J173" s="19" t="str">
        <f aca="false">IF($A173="","",IFERROR(INDEX(Denetimler!$E:$E,MATCH($A173,Denetimler!$A:$A,0)),"No yok"))</f>
        <v>İç denetim</v>
      </c>
      <c r="K173" s="25" t="n">
        <f aca="false">IF($A173="","",IFERROR(INDEX(Denetimler!$B:$B,MATCH($A173,Denetimler!$A:$A,0)),"No yok"))</f>
        <v>46254</v>
      </c>
    </row>
    <row r="174" customFormat="false" ht="15" hidden="false" customHeight="false" outlineLevel="0" collapsed="false">
      <c r="A174" s="24" t="s">
        <v>199</v>
      </c>
      <c r="B174" s="24" t="s">
        <v>218</v>
      </c>
      <c r="C174" s="24" t="s">
        <v>206</v>
      </c>
      <c r="D174" s="19" t="str">
        <f aca="false">IF($B174="","",IFERROR(INDEX(Madde_Listesi!$C:$C,MATCH($B174,Madde_Listesi!$B:$B,0)),"Kod yok"))</f>
        <v>Depo ve kasa anahtarları yetkili kişide</v>
      </c>
      <c r="E174" s="19" t="str">
        <f aca="false">IF($B174="","",IFERROR(INDEX(Madde_Listesi!$D:$D,MATCH($B174,Madde_Listesi!$B:$B,0)),"Kod yok"))</f>
        <v>Güvenlik</v>
      </c>
      <c r="F174" s="19" t="str">
        <f aca="false">IF($B174="","",IFERROR(INDEX(Madde_Listesi!$E:$E,MATCH($B174,Madde_Listesi!$B:$B,0)),"Kod yok"))</f>
        <v>Major</v>
      </c>
      <c r="G174" s="19" t="str">
        <f aca="false">IF($B174="","",IFERROR(INDEX(Madde_Listesi!$F:$F,MATCH($B174,Madde_Listesi!$B:$B,0)),"Kod yok"))</f>
        <v>Mağaza güvenliği</v>
      </c>
      <c r="H174" s="19" t="str">
        <f aca="false">IF($A174="","",IFERROR(INDEX(Denetimler!$C:$C,MATCH($A174,Denetimler!$A:$A,0)),"No yok"))</f>
        <v>Mağaza F</v>
      </c>
      <c r="I174" s="19" t="str">
        <f aca="false">IF($A174="","",IFERROR(INDEX(Denetimler!$D:$D,MATCH($A174,Denetimler!$A:$A,0)),"No yok"))</f>
        <v>PAP</v>
      </c>
      <c r="J174" s="19" t="str">
        <f aca="false">IF($A174="","",IFERROR(INDEX(Denetimler!$E:$E,MATCH($A174,Denetimler!$A:$A,0)),"No yok"))</f>
        <v>İç denetim</v>
      </c>
      <c r="K174" s="25" t="n">
        <f aca="false">IF($A174="","",IFERROR(INDEX(Denetimler!$B:$B,MATCH($A174,Denetimler!$A:$A,0)),"No yok"))</f>
        <v>46254</v>
      </c>
    </row>
    <row r="175" customFormat="false" ht="15" hidden="false" customHeight="false" outlineLevel="0" collapsed="false">
      <c r="A175" s="24" t="s">
        <v>199</v>
      </c>
      <c r="B175" s="24" t="s">
        <v>228</v>
      </c>
      <c r="C175" s="24" t="s">
        <v>206</v>
      </c>
      <c r="D175" s="19" t="str">
        <f aca="false">IF($B175="","",IFERROR(INDEX(Madde_Listesi!$C:$C,MATCH($B175,Madde_Listesi!$B:$B,0)),"Kod yok"))</f>
        <v>Personel indirimleri kurala uygun kullanılıyor</v>
      </c>
      <c r="E175" s="19" t="str">
        <f aca="false">IF($B175="","",IFERROR(INDEX(Madde_Listesi!$D:$D,MATCH($B175,Madde_Listesi!$B:$B,0)),"Kod yok"))</f>
        <v>İşlem</v>
      </c>
      <c r="F175" s="19" t="str">
        <f aca="false">IF($B175="","",IFERROR(INDEX(Madde_Listesi!$E:$E,MATCH($B175,Madde_Listesi!$B:$B,0)),"Kod yok"))</f>
        <v>Minör</v>
      </c>
      <c r="G175" s="19" t="str">
        <f aca="false">IF($B175="","",IFERROR(INDEX(Madde_Listesi!$F:$F,MATCH($B175,Madde_Listesi!$B:$B,0)),"Kod yok"))</f>
        <v>İptal ve iade süreçleri</v>
      </c>
      <c r="H175" s="19" t="str">
        <f aca="false">IF($A175="","",IFERROR(INDEX(Denetimler!$C:$C,MATCH($A175,Denetimler!$A:$A,0)),"No yok"))</f>
        <v>Mağaza F</v>
      </c>
      <c r="I175" s="19" t="str">
        <f aca="false">IF($A175="","",IFERROR(INDEX(Denetimler!$D:$D,MATCH($A175,Denetimler!$A:$A,0)),"No yok"))</f>
        <v>PAP</v>
      </c>
      <c r="J175" s="19" t="str">
        <f aca="false">IF($A175="","",IFERROR(INDEX(Denetimler!$E:$E,MATCH($A175,Denetimler!$A:$A,0)),"No yok"))</f>
        <v>İç denetim</v>
      </c>
      <c r="K175" s="25" t="n">
        <f aca="false">IF($A175="","",IFERROR(INDEX(Denetimler!$B:$B,MATCH($A175,Denetimler!$A:$A,0)),"No yok"))</f>
        <v>46254</v>
      </c>
    </row>
    <row r="176" customFormat="false" ht="15" hidden="false" customHeight="false" outlineLevel="0" collapsed="false">
      <c r="A176" s="24" t="s">
        <v>199</v>
      </c>
      <c r="B176" s="24" t="s">
        <v>218</v>
      </c>
      <c r="C176" s="24" t="s">
        <v>206</v>
      </c>
      <c r="D176" s="19" t="str">
        <f aca="false">IF($B176="","",IFERROR(INDEX(Madde_Listesi!$C:$C,MATCH($B176,Madde_Listesi!$B:$B,0)),"Kod yok"))</f>
        <v>Depo ve kasa anahtarları yetkili kişide</v>
      </c>
      <c r="E176" s="19" t="str">
        <f aca="false">IF($B176="","",IFERROR(INDEX(Madde_Listesi!$D:$D,MATCH($B176,Madde_Listesi!$B:$B,0)),"Kod yok"))</f>
        <v>Güvenlik</v>
      </c>
      <c r="F176" s="19" t="str">
        <f aca="false">IF($B176="","",IFERROR(INDEX(Madde_Listesi!$E:$E,MATCH($B176,Madde_Listesi!$B:$B,0)),"Kod yok"))</f>
        <v>Major</v>
      </c>
      <c r="G176" s="19" t="str">
        <f aca="false">IF($B176="","",IFERROR(INDEX(Madde_Listesi!$F:$F,MATCH($B176,Madde_Listesi!$B:$B,0)),"Kod yok"))</f>
        <v>Mağaza güvenliği</v>
      </c>
      <c r="H176" s="19" t="str">
        <f aca="false">IF($A176="","",IFERROR(INDEX(Denetimler!$C:$C,MATCH($A176,Denetimler!$A:$A,0)),"No yok"))</f>
        <v>Mağaza F</v>
      </c>
      <c r="I176" s="19" t="str">
        <f aca="false">IF($A176="","",IFERROR(INDEX(Denetimler!$D:$D,MATCH($A176,Denetimler!$A:$A,0)),"No yok"))</f>
        <v>PAP</v>
      </c>
      <c r="J176" s="19" t="str">
        <f aca="false">IF($A176="","",IFERROR(INDEX(Denetimler!$E:$E,MATCH($A176,Denetimler!$A:$A,0)),"No yok"))</f>
        <v>İç denetim</v>
      </c>
      <c r="K176" s="25" t="n">
        <f aca="false">IF($A176="","",IFERROR(INDEX(Denetimler!$B:$B,MATCH($A176,Denetimler!$A:$A,0)),"No yok"))</f>
        <v>46254</v>
      </c>
    </row>
    <row r="177" customFormat="false" ht="15" hidden="false" customHeight="false" outlineLevel="0" collapsed="false">
      <c r="A177" s="24" t="s">
        <v>199</v>
      </c>
      <c r="B177" s="24" t="s">
        <v>225</v>
      </c>
      <c r="C177" s="24" t="s">
        <v>206</v>
      </c>
      <c r="D177" s="19" t="str">
        <f aca="false">IF($B177="","",IFERROR(INDEX(Madde_Listesi!$C:$C,MATCH($B177,Madde_Listesi!$B:$B,0)),"Kod yok"))</f>
        <v>Fire ve zayi kayıtları belgeli</v>
      </c>
      <c r="E177" s="19" t="str">
        <f aca="false">IF($B177="","",IFERROR(INDEX(Madde_Listesi!$D:$D,MATCH($B177,Madde_Listesi!$B:$B,0)),"Kod yok"))</f>
        <v>Stok</v>
      </c>
      <c r="F177" s="19" t="str">
        <f aca="false">IF($B177="","",IFERROR(INDEX(Madde_Listesi!$E:$E,MATCH($B177,Madde_Listesi!$B:$B,0)),"Kod yok"))</f>
        <v>Major</v>
      </c>
      <c r="G177" s="19" t="str">
        <f aca="false">IF($B177="","",IFERROR(INDEX(Madde_Listesi!$F:$F,MATCH($B177,Madde_Listesi!$B:$B,0)),"Kod yok"))</f>
        <v>Stok ve sipariş yönetimi</v>
      </c>
      <c r="H177" s="19" t="str">
        <f aca="false">IF($A177="","",IFERROR(INDEX(Denetimler!$C:$C,MATCH($A177,Denetimler!$A:$A,0)),"No yok"))</f>
        <v>Mağaza F</v>
      </c>
      <c r="I177" s="19" t="str">
        <f aca="false">IF($A177="","",IFERROR(INDEX(Denetimler!$D:$D,MATCH($A177,Denetimler!$A:$A,0)),"No yok"))</f>
        <v>PAP</v>
      </c>
      <c r="J177" s="19" t="str">
        <f aca="false">IF($A177="","",IFERROR(INDEX(Denetimler!$E:$E,MATCH($A177,Denetimler!$A:$A,0)),"No yok"))</f>
        <v>İç denetim</v>
      </c>
      <c r="K177" s="25" t="n">
        <f aca="false">IF($A177="","",IFERROR(INDEX(Denetimler!$B:$B,MATCH($A177,Denetimler!$A:$A,0)),"No yok"))</f>
        <v>46254</v>
      </c>
    </row>
    <row r="178" customFormat="false" ht="15" hidden="false" customHeight="false" outlineLevel="0" collapsed="false">
      <c r="A178" s="24" t="s">
        <v>199</v>
      </c>
      <c r="B178" s="24" t="s">
        <v>228</v>
      </c>
      <c r="C178" s="24" t="s">
        <v>206</v>
      </c>
      <c r="D178" s="19" t="str">
        <f aca="false">IF($B178="","",IFERROR(INDEX(Madde_Listesi!$C:$C,MATCH($B178,Madde_Listesi!$B:$B,0)),"Kod yok"))</f>
        <v>Personel indirimleri kurala uygun kullanılıyor</v>
      </c>
      <c r="E178" s="19" t="str">
        <f aca="false">IF($B178="","",IFERROR(INDEX(Madde_Listesi!$D:$D,MATCH($B178,Madde_Listesi!$B:$B,0)),"Kod yok"))</f>
        <v>İşlem</v>
      </c>
      <c r="F178" s="19" t="str">
        <f aca="false">IF($B178="","",IFERROR(INDEX(Madde_Listesi!$E:$E,MATCH($B178,Madde_Listesi!$B:$B,0)),"Kod yok"))</f>
        <v>Minör</v>
      </c>
      <c r="G178" s="19" t="str">
        <f aca="false">IF($B178="","",IFERROR(INDEX(Madde_Listesi!$F:$F,MATCH($B178,Madde_Listesi!$B:$B,0)),"Kod yok"))</f>
        <v>İptal ve iade süreçleri</v>
      </c>
      <c r="H178" s="19" t="str">
        <f aca="false">IF($A178="","",IFERROR(INDEX(Denetimler!$C:$C,MATCH($A178,Denetimler!$A:$A,0)),"No yok"))</f>
        <v>Mağaza F</v>
      </c>
      <c r="I178" s="19" t="str">
        <f aca="false">IF($A178="","",IFERROR(INDEX(Denetimler!$D:$D,MATCH($A178,Denetimler!$A:$A,0)),"No yok"))</f>
        <v>PAP</v>
      </c>
      <c r="J178" s="19" t="str">
        <f aca="false">IF($A178="","",IFERROR(INDEX(Denetimler!$E:$E,MATCH($A178,Denetimler!$A:$A,0)),"No yok"))</f>
        <v>İç denetim</v>
      </c>
      <c r="K178" s="25" t="n">
        <f aca="false">IF($A178="","",IFERROR(INDEX(Denetimler!$B:$B,MATCH($A178,Denetimler!$A:$A,0)),"No yok"))</f>
        <v>46254</v>
      </c>
    </row>
    <row r="179" customFormat="false" ht="15" hidden="false" customHeight="false" outlineLevel="0" collapsed="false">
      <c r="A179" s="24" t="s">
        <v>190</v>
      </c>
      <c r="B179" s="24" t="s">
        <v>214</v>
      </c>
      <c r="C179" s="24" t="s">
        <v>206</v>
      </c>
      <c r="D179" s="19" t="str">
        <f aca="false">IF($B179="","",IFERROR(INDEX(Madde_Listesi!$C:$C,MATCH($B179,Madde_Listesi!$B:$B,0)),"Kod yok"))</f>
        <v>Sıcaklık kayıtları tam ve zamanında tutulmuş</v>
      </c>
      <c r="E179" s="19" t="str">
        <f aca="false">IF($B179="","",IFERROR(INDEX(Madde_Listesi!$D:$D,MATCH($B179,Madde_Listesi!$B:$B,0)),"Kod yok"))</f>
        <v>Sıcaklık</v>
      </c>
      <c r="F179" s="19" t="str">
        <f aca="false">IF($B179="","",IFERROR(INDEX(Madde_Listesi!$E:$E,MATCH($B179,Madde_Listesi!$B:$B,0)),"Kod yok"))</f>
        <v>Major</v>
      </c>
      <c r="G179" s="19" t="str">
        <f aca="false">IF($B179="","",IFERROR(INDEX(Madde_Listesi!$F:$F,MATCH($B179,Madde_Listesi!$B:$B,0)),"Kod yok"))</f>
        <v>Soğuk zincir ve sıcaklık kontrolü</v>
      </c>
      <c r="H179" s="19" t="str">
        <f aca="false">IF($A179="","",IFERROR(INDEX(Denetimler!$C:$C,MATCH($A179,Denetimler!$A:$A,0)),"No yok"))</f>
        <v>Mağaza F</v>
      </c>
      <c r="I179" s="19" t="str">
        <f aca="false">IF($A179="","",IFERROR(INDEX(Denetimler!$D:$D,MATCH($A179,Denetimler!$A:$A,0)),"No yok"))</f>
        <v>RSA</v>
      </c>
      <c r="J179" s="19" t="str">
        <f aca="false">IF($A179="","",IFERROR(INDEX(Denetimler!$E:$E,MATCH($A179,Denetimler!$A:$A,0)),"No yok"))</f>
        <v>İç denetim</v>
      </c>
      <c r="K179" s="25" t="n">
        <f aca="false">IF($A179="","",IFERROR(INDEX(Denetimler!$B:$B,MATCH($A179,Denetimler!$A:$A,0)),"No yok"))</f>
        <v>46241</v>
      </c>
    </row>
    <row r="180" customFormat="false" ht="15" hidden="false" customHeight="false" outlineLevel="0" collapsed="false">
      <c r="A180" s="24" t="s">
        <v>190</v>
      </c>
      <c r="B180" s="24" t="s">
        <v>222</v>
      </c>
      <c r="C180" s="24" t="s">
        <v>206</v>
      </c>
      <c r="D180" s="19" t="str">
        <f aca="false">IF($B180="","",IFERROR(INDEX(Madde_Listesi!$C:$C,MATCH($B180,Madde_Listesi!$B:$B,0)),"Kod yok"))</f>
        <v>Çalışan takı ve kişisel hijyen kurallarına uyuyor</v>
      </c>
      <c r="E180" s="19" t="str">
        <f aca="false">IF($B180="","",IFERROR(INDEX(Madde_Listesi!$D:$D,MATCH($B180,Madde_Listesi!$B:$B,0)),"Kod yok"))</f>
        <v>Partner</v>
      </c>
      <c r="F180" s="19" t="str">
        <f aca="false">IF($B180="","",IFERROR(INDEX(Madde_Listesi!$E:$E,MATCH($B180,Madde_Listesi!$B:$B,0)),"Kod yok"))</f>
        <v>Major</v>
      </c>
      <c r="G180" s="19" t="str">
        <f aca="false">IF($B180="","",IFERROR(INDEX(Madde_Listesi!$F:$F,MATCH($B180,Madde_Listesi!$B:$B,0)),"Kod yok"))</f>
        <v>Kişisel hijyen</v>
      </c>
      <c r="H180" s="19" t="str">
        <f aca="false">IF($A180="","",IFERROR(INDEX(Denetimler!$C:$C,MATCH($A180,Denetimler!$A:$A,0)),"No yok"))</f>
        <v>Mağaza F</v>
      </c>
      <c r="I180" s="19" t="str">
        <f aca="false">IF($A180="","",IFERROR(INDEX(Denetimler!$D:$D,MATCH($A180,Denetimler!$A:$A,0)),"No yok"))</f>
        <v>RSA</v>
      </c>
      <c r="J180" s="19" t="str">
        <f aca="false">IF($A180="","",IFERROR(INDEX(Denetimler!$E:$E,MATCH($A180,Denetimler!$A:$A,0)),"No yok"))</f>
        <v>İç denetim</v>
      </c>
      <c r="K180" s="25" t="n">
        <f aca="false">IF($A180="","",IFERROR(INDEX(Denetimler!$B:$B,MATCH($A180,Denetimler!$A:$A,0)),"No yok"))</f>
        <v>46241</v>
      </c>
    </row>
    <row r="181" customFormat="false" ht="15" hidden="false" customHeight="false" outlineLevel="0" collapsed="false">
      <c r="A181" s="24" t="s">
        <v>190</v>
      </c>
      <c r="B181" s="24" t="s">
        <v>214</v>
      </c>
      <c r="C181" s="24" t="s">
        <v>206</v>
      </c>
      <c r="D181" s="19" t="str">
        <f aca="false">IF($B181="","",IFERROR(INDEX(Madde_Listesi!$C:$C,MATCH($B181,Madde_Listesi!$B:$B,0)),"Kod yok"))</f>
        <v>Sıcaklık kayıtları tam ve zamanında tutulmuş</v>
      </c>
      <c r="E181" s="19" t="str">
        <f aca="false">IF($B181="","",IFERROR(INDEX(Madde_Listesi!$D:$D,MATCH($B181,Madde_Listesi!$B:$B,0)),"Kod yok"))</f>
        <v>Sıcaklık</v>
      </c>
      <c r="F181" s="19" t="str">
        <f aca="false">IF($B181="","",IFERROR(INDEX(Madde_Listesi!$E:$E,MATCH($B181,Madde_Listesi!$B:$B,0)),"Kod yok"))</f>
        <v>Major</v>
      </c>
      <c r="G181" s="19" t="str">
        <f aca="false">IF($B181="","",IFERROR(INDEX(Madde_Listesi!$F:$F,MATCH($B181,Madde_Listesi!$B:$B,0)),"Kod yok"))</f>
        <v>Soğuk zincir ve sıcaklık kontrolü</v>
      </c>
      <c r="H181" s="19" t="str">
        <f aca="false">IF($A181="","",IFERROR(INDEX(Denetimler!$C:$C,MATCH($A181,Denetimler!$A:$A,0)),"No yok"))</f>
        <v>Mağaza F</v>
      </c>
      <c r="I181" s="19" t="str">
        <f aca="false">IF($A181="","",IFERROR(INDEX(Denetimler!$D:$D,MATCH($A181,Denetimler!$A:$A,0)),"No yok"))</f>
        <v>RSA</v>
      </c>
      <c r="J181" s="19" t="str">
        <f aca="false">IF($A181="","",IFERROR(INDEX(Denetimler!$E:$E,MATCH($A181,Denetimler!$A:$A,0)),"No yok"))</f>
        <v>İç denetim</v>
      </c>
      <c r="K181" s="25" t="n">
        <f aca="false">IF($A181="","",IFERROR(INDEX(Denetimler!$B:$B,MATCH($A181,Denetimler!$A:$A,0)),"No yok"))</f>
        <v>46241</v>
      </c>
    </row>
    <row r="182" customFormat="false" ht="15" hidden="false" customHeight="false" outlineLevel="0" collapsed="false">
      <c r="A182" s="24" t="s">
        <v>190</v>
      </c>
      <c r="B182" s="24" t="s">
        <v>214</v>
      </c>
      <c r="C182" s="24" t="s">
        <v>206</v>
      </c>
      <c r="D182" s="19" t="str">
        <f aca="false">IF($B182="","",IFERROR(INDEX(Madde_Listesi!$C:$C,MATCH($B182,Madde_Listesi!$B:$B,0)),"Kod yok"))</f>
        <v>Sıcaklık kayıtları tam ve zamanında tutulmuş</v>
      </c>
      <c r="E182" s="19" t="str">
        <f aca="false">IF($B182="","",IFERROR(INDEX(Madde_Listesi!$D:$D,MATCH($B182,Madde_Listesi!$B:$B,0)),"Kod yok"))</f>
        <v>Sıcaklık</v>
      </c>
      <c r="F182" s="19" t="str">
        <f aca="false">IF($B182="","",IFERROR(INDEX(Madde_Listesi!$E:$E,MATCH($B182,Madde_Listesi!$B:$B,0)),"Kod yok"))</f>
        <v>Major</v>
      </c>
      <c r="G182" s="19" t="str">
        <f aca="false">IF($B182="","",IFERROR(INDEX(Madde_Listesi!$F:$F,MATCH($B182,Madde_Listesi!$B:$B,0)),"Kod yok"))</f>
        <v>Soğuk zincir ve sıcaklık kontrolü</v>
      </c>
      <c r="H182" s="19" t="str">
        <f aca="false">IF($A182="","",IFERROR(INDEX(Denetimler!$C:$C,MATCH($A182,Denetimler!$A:$A,0)),"No yok"))</f>
        <v>Mağaza F</v>
      </c>
      <c r="I182" s="19" t="str">
        <f aca="false">IF($A182="","",IFERROR(INDEX(Denetimler!$D:$D,MATCH($A182,Denetimler!$A:$A,0)),"No yok"))</f>
        <v>RSA</v>
      </c>
      <c r="J182" s="19" t="str">
        <f aca="false">IF($A182="","",IFERROR(INDEX(Denetimler!$E:$E,MATCH($A182,Denetimler!$A:$A,0)),"No yok"))</f>
        <v>İç denetim</v>
      </c>
      <c r="K182" s="25" t="n">
        <f aca="false">IF($A182="","",IFERROR(INDEX(Denetimler!$B:$B,MATCH($A182,Denetimler!$A:$A,0)),"No yok"))</f>
        <v>46241</v>
      </c>
    </row>
    <row r="183" customFormat="false" ht="15" hidden="false" customHeight="false" outlineLevel="0" collapsed="false">
      <c r="A183" s="24" t="s">
        <v>190</v>
      </c>
      <c r="B183" s="24" t="s">
        <v>214</v>
      </c>
      <c r="C183" s="24" t="s">
        <v>206</v>
      </c>
      <c r="D183" s="19" t="str">
        <f aca="false">IF($B183="","",IFERROR(INDEX(Madde_Listesi!$C:$C,MATCH($B183,Madde_Listesi!$B:$B,0)),"Kod yok"))</f>
        <v>Sıcaklık kayıtları tam ve zamanında tutulmuş</v>
      </c>
      <c r="E183" s="19" t="str">
        <f aca="false">IF($B183="","",IFERROR(INDEX(Madde_Listesi!$D:$D,MATCH($B183,Madde_Listesi!$B:$B,0)),"Kod yok"))</f>
        <v>Sıcaklık</v>
      </c>
      <c r="F183" s="19" t="str">
        <f aca="false">IF($B183="","",IFERROR(INDEX(Madde_Listesi!$E:$E,MATCH($B183,Madde_Listesi!$B:$B,0)),"Kod yok"))</f>
        <v>Major</v>
      </c>
      <c r="G183" s="19" t="str">
        <f aca="false">IF($B183="","",IFERROR(INDEX(Madde_Listesi!$F:$F,MATCH($B183,Madde_Listesi!$B:$B,0)),"Kod yok"))</f>
        <v>Soğuk zincir ve sıcaklık kontrolü</v>
      </c>
      <c r="H183" s="19" t="str">
        <f aca="false">IF($A183="","",IFERROR(INDEX(Denetimler!$C:$C,MATCH($A183,Denetimler!$A:$A,0)),"No yok"))</f>
        <v>Mağaza F</v>
      </c>
      <c r="I183" s="19" t="str">
        <f aca="false">IF($A183="","",IFERROR(INDEX(Denetimler!$D:$D,MATCH($A183,Denetimler!$A:$A,0)),"No yok"))</f>
        <v>RSA</v>
      </c>
      <c r="J183" s="19" t="str">
        <f aca="false">IF($A183="","",IFERROR(INDEX(Denetimler!$E:$E,MATCH($A183,Denetimler!$A:$A,0)),"No yok"))</f>
        <v>İç denetim</v>
      </c>
      <c r="K183" s="25" t="n">
        <f aca="false">IF($A183="","",IFERROR(INDEX(Denetimler!$B:$B,MATCH($A183,Denetimler!$A:$A,0)),"No yok"))</f>
        <v>46241</v>
      </c>
    </row>
    <row r="184" customFormat="false" ht="15" hidden="false" customHeight="false" outlineLevel="0" collapsed="false">
      <c r="A184" s="24" t="s">
        <v>201</v>
      </c>
      <c r="B184" s="24" t="s">
        <v>226</v>
      </c>
      <c r="C184" s="24" t="s">
        <v>206</v>
      </c>
      <c r="D184" s="19" t="str">
        <f aca="false">IF($B184="","",IFERROR(INDEX(Madde_Listesi!$C:$C,MATCH($B184,Madde_Listesi!$B:$B,0)),"Kod yok"))</f>
        <v>Kasa farkları kayıt altına alınmış ve açıklanmış</v>
      </c>
      <c r="E184" s="19" t="str">
        <f aca="false">IF($B184="","",IFERROR(INDEX(Madde_Listesi!$D:$D,MATCH($B184,Madde_Listesi!$B:$B,0)),"Kod yok"))</f>
        <v>Nakit</v>
      </c>
      <c r="F184" s="19" t="str">
        <f aca="false">IF($B184="","",IFERROR(INDEX(Madde_Listesi!$E:$E,MATCH($B184,Madde_Listesi!$B:$B,0)),"Kod yok"))</f>
        <v>Kritik</v>
      </c>
      <c r="G184" s="19" t="str">
        <f aca="false">IF($B184="","",IFERROR(INDEX(Madde_Listesi!$F:$F,MATCH($B184,Madde_Listesi!$B:$B,0)),"Kod yok"))</f>
        <v>Kasa prosedürleri</v>
      </c>
      <c r="H184" s="19" t="str">
        <f aca="false">IF($A184="","",IFERROR(INDEX(Denetimler!$C:$C,MATCH($A184,Denetimler!$A:$A,0)),"No yok"))</f>
        <v>Mağaza G</v>
      </c>
      <c r="I184" s="19" t="str">
        <f aca="false">IF($A184="","",IFERROR(INDEX(Denetimler!$D:$D,MATCH($A184,Denetimler!$A:$A,0)),"No yok"))</f>
        <v>PAP</v>
      </c>
      <c r="J184" s="19" t="str">
        <f aca="false">IF($A184="","",IFERROR(INDEX(Denetimler!$E:$E,MATCH($A184,Denetimler!$A:$A,0)),"No yok"))</f>
        <v>İç denetim</v>
      </c>
      <c r="K184" s="25" t="n">
        <f aca="false">IF($A184="","",IFERROR(INDEX(Denetimler!$B:$B,MATCH($A184,Denetimler!$A:$A,0)),"No yok"))</f>
        <v>46257</v>
      </c>
    </row>
    <row r="185" customFormat="false" ht="15" hidden="false" customHeight="false" outlineLevel="0" collapsed="false">
      <c r="A185" s="24" t="s">
        <v>201</v>
      </c>
      <c r="B185" s="24" t="s">
        <v>226</v>
      </c>
      <c r="C185" s="24" t="s">
        <v>206</v>
      </c>
      <c r="D185" s="19" t="str">
        <f aca="false">IF($B185="","",IFERROR(INDEX(Madde_Listesi!$C:$C,MATCH($B185,Madde_Listesi!$B:$B,0)),"Kod yok"))</f>
        <v>Kasa farkları kayıt altına alınmış ve açıklanmış</v>
      </c>
      <c r="E185" s="19" t="str">
        <f aca="false">IF($B185="","",IFERROR(INDEX(Madde_Listesi!$D:$D,MATCH($B185,Madde_Listesi!$B:$B,0)),"Kod yok"))</f>
        <v>Nakit</v>
      </c>
      <c r="F185" s="19" t="str">
        <f aca="false">IF($B185="","",IFERROR(INDEX(Madde_Listesi!$E:$E,MATCH($B185,Madde_Listesi!$B:$B,0)),"Kod yok"))</f>
        <v>Kritik</v>
      </c>
      <c r="G185" s="19" t="str">
        <f aca="false">IF($B185="","",IFERROR(INDEX(Madde_Listesi!$F:$F,MATCH($B185,Madde_Listesi!$B:$B,0)),"Kod yok"))</f>
        <v>Kasa prosedürleri</v>
      </c>
      <c r="H185" s="19" t="str">
        <f aca="false">IF($A185="","",IFERROR(INDEX(Denetimler!$C:$C,MATCH($A185,Denetimler!$A:$A,0)),"No yok"))</f>
        <v>Mağaza G</v>
      </c>
      <c r="I185" s="19" t="str">
        <f aca="false">IF($A185="","",IFERROR(INDEX(Denetimler!$D:$D,MATCH($A185,Denetimler!$A:$A,0)),"No yok"))</f>
        <v>PAP</v>
      </c>
      <c r="J185" s="19" t="str">
        <f aca="false">IF($A185="","",IFERROR(INDEX(Denetimler!$E:$E,MATCH($A185,Denetimler!$A:$A,0)),"No yok"))</f>
        <v>İç denetim</v>
      </c>
      <c r="K185" s="25" t="n">
        <f aca="false">IF($A185="","",IFERROR(INDEX(Denetimler!$B:$B,MATCH($A185,Denetimler!$A:$A,0)),"No yok"))</f>
        <v>46257</v>
      </c>
    </row>
    <row r="186" customFormat="false" ht="15" hidden="false" customHeight="false" outlineLevel="0" collapsed="false">
      <c r="A186" s="24" t="s">
        <v>201</v>
      </c>
      <c r="B186" s="24" t="s">
        <v>226</v>
      </c>
      <c r="C186" s="24" t="s">
        <v>206</v>
      </c>
      <c r="D186" s="19" t="str">
        <f aca="false">IF($B186="","",IFERROR(INDEX(Madde_Listesi!$C:$C,MATCH($B186,Madde_Listesi!$B:$B,0)),"Kod yok"))</f>
        <v>Kasa farkları kayıt altına alınmış ve açıklanmış</v>
      </c>
      <c r="E186" s="19" t="str">
        <f aca="false">IF($B186="","",IFERROR(INDEX(Madde_Listesi!$D:$D,MATCH($B186,Madde_Listesi!$B:$B,0)),"Kod yok"))</f>
        <v>Nakit</v>
      </c>
      <c r="F186" s="19" t="str">
        <f aca="false">IF($B186="","",IFERROR(INDEX(Madde_Listesi!$E:$E,MATCH($B186,Madde_Listesi!$B:$B,0)),"Kod yok"))</f>
        <v>Kritik</v>
      </c>
      <c r="G186" s="19" t="str">
        <f aca="false">IF($B186="","",IFERROR(INDEX(Madde_Listesi!$F:$F,MATCH($B186,Madde_Listesi!$B:$B,0)),"Kod yok"))</f>
        <v>Kasa prosedürleri</v>
      </c>
      <c r="H186" s="19" t="str">
        <f aca="false">IF($A186="","",IFERROR(INDEX(Denetimler!$C:$C,MATCH($A186,Denetimler!$A:$A,0)),"No yok"))</f>
        <v>Mağaza G</v>
      </c>
      <c r="I186" s="19" t="str">
        <f aca="false">IF($A186="","",IFERROR(INDEX(Denetimler!$D:$D,MATCH($A186,Denetimler!$A:$A,0)),"No yok"))</f>
        <v>PAP</v>
      </c>
      <c r="J186" s="19" t="str">
        <f aca="false">IF($A186="","",IFERROR(INDEX(Denetimler!$E:$E,MATCH($A186,Denetimler!$A:$A,0)),"No yok"))</f>
        <v>İç denetim</v>
      </c>
      <c r="K186" s="25" t="n">
        <f aca="false">IF($A186="","",IFERROR(INDEX(Denetimler!$B:$B,MATCH($A186,Denetimler!$A:$A,0)),"No yok"))</f>
        <v>46257</v>
      </c>
    </row>
    <row r="187" customFormat="false" ht="15" hidden="false" customHeight="false" outlineLevel="0" collapsed="false">
      <c r="A187" s="24" t="s">
        <v>201</v>
      </c>
      <c r="B187" s="24" t="s">
        <v>226</v>
      </c>
      <c r="C187" s="24" t="s">
        <v>206</v>
      </c>
      <c r="D187" s="19" t="str">
        <f aca="false">IF($B187="","",IFERROR(INDEX(Madde_Listesi!$C:$C,MATCH($B187,Madde_Listesi!$B:$B,0)),"Kod yok"))</f>
        <v>Kasa farkları kayıt altına alınmış ve açıklanmış</v>
      </c>
      <c r="E187" s="19" t="str">
        <f aca="false">IF($B187="","",IFERROR(INDEX(Madde_Listesi!$D:$D,MATCH($B187,Madde_Listesi!$B:$B,0)),"Kod yok"))</f>
        <v>Nakit</v>
      </c>
      <c r="F187" s="19" t="str">
        <f aca="false">IF($B187="","",IFERROR(INDEX(Madde_Listesi!$E:$E,MATCH($B187,Madde_Listesi!$B:$B,0)),"Kod yok"))</f>
        <v>Kritik</v>
      </c>
      <c r="G187" s="19" t="str">
        <f aca="false">IF($B187="","",IFERROR(INDEX(Madde_Listesi!$F:$F,MATCH($B187,Madde_Listesi!$B:$B,0)),"Kod yok"))</f>
        <v>Kasa prosedürleri</v>
      </c>
      <c r="H187" s="19" t="str">
        <f aca="false">IF($A187="","",IFERROR(INDEX(Denetimler!$C:$C,MATCH($A187,Denetimler!$A:$A,0)),"No yok"))</f>
        <v>Mağaza G</v>
      </c>
      <c r="I187" s="19" t="str">
        <f aca="false">IF($A187="","",IFERROR(INDEX(Denetimler!$D:$D,MATCH($A187,Denetimler!$A:$A,0)),"No yok"))</f>
        <v>PAP</v>
      </c>
      <c r="J187" s="19" t="str">
        <f aca="false">IF($A187="","",IFERROR(INDEX(Denetimler!$E:$E,MATCH($A187,Denetimler!$A:$A,0)),"No yok"))</f>
        <v>İç denetim</v>
      </c>
      <c r="K187" s="25" t="n">
        <f aca="false">IF($A187="","",IFERROR(INDEX(Denetimler!$B:$B,MATCH($A187,Denetimler!$A:$A,0)),"No yok"))</f>
        <v>46257</v>
      </c>
    </row>
    <row r="188" customFormat="false" ht="15" hidden="false" customHeight="false" outlineLevel="0" collapsed="false">
      <c r="A188" s="24" t="s">
        <v>194</v>
      </c>
      <c r="B188" s="24" t="s">
        <v>210</v>
      </c>
      <c r="C188" s="24" t="s">
        <v>206</v>
      </c>
      <c r="D188" s="19" t="str">
        <f aca="false">IF($B188="","",IFERROR(INDEX(Madde_Listesi!$C:$C,MATCH($B188,Madde_Listesi!$B:$B,0)),"Kod yok"))</f>
        <v>Kimyasallar etiketli ve gıdadan ayrı saklanıyor</v>
      </c>
      <c r="E188" s="19" t="str">
        <f aca="false">IF($B188="","",IFERROR(INDEX(Madde_Listesi!$D:$D,MATCH($B188,Madde_Listesi!$B:$B,0)),"Kod yok"))</f>
        <v>Bulaşma</v>
      </c>
      <c r="F188" s="19" t="str">
        <f aca="false">IF($B188="","",IFERROR(INDEX(Madde_Listesi!$E:$E,MATCH($B188,Madde_Listesi!$B:$B,0)),"Kod yok"))</f>
        <v>Major</v>
      </c>
      <c r="G188" s="19" t="str">
        <f aca="false">IF($B188="","",IFERROR(INDEX(Madde_Listesi!$F:$F,MATCH($B188,Madde_Listesi!$B:$B,0)),"Kod yok"))</f>
        <v>Kimyasal güvenliği</v>
      </c>
      <c r="H188" s="19" t="str">
        <f aca="false">IF($A188="","",IFERROR(INDEX(Denetimler!$C:$C,MATCH($A188,Denetimler!$A:$A,0)),"No yok"))</f>
        <v>Mağaza H</v>
      </c>
      <c r="I188" s="19" t="str">
        <f aca="false">IF($A188="","",IFERROR(INDEX(Denetimler!$D:$D,MATCH($A188,Denetimler!$A:$A,0)),"No yok"))</f>
        <v>RSA</v>
      </c>
      <c r="J188" s="19" t="str">
        <f aca="false">IF($A188="","",IFERROR(INDEX(Denetimler!$E:$E,MATCH($A188,Denetimler!$A:$A,0)),"No yok"))</f>
        <v>İç denetim</v>
      </c>
      <c r="K188" s="25" t="n">
        <f aca="false">IF($A188="","",IFERROR(INDEX(Denetimler!$B:$B,MATCH($A188,Denetimler!$A:$A,0)),"No yok"))</f>
        <v>46248</v>
      </c>
    </row>
    <row r="189" customFormat="false" ht="15" hidden="false" customHeight="false" outlineLevel="0" collapsed="false">
      <c r="A189" s="24" t="s">
        <v>194</v>
      </c>
      <c r="B189" s="24" t="s">
        <v>223</v>
      </c>
      <c r="C189" s="24" t="s">
        <v>206</v>
      </c>
      <c r="D189" s="19" t="str">
        <f aca="false">IF($B189="","",IFERROR(INDEX(Madde_Listesi!$C:$C,MATCH($B189,Madde_Listesi!$B:$B,0)),"Kod yok"))</f>
        <v>Ürünlerin son kullanma tarihleri geçerli ve etiketli</v>
      </c>
      <c r="E189" s="19" t="str">
        <f aca="false">IF($B189="","",IFERROR(INDEX(Madde_Listesi!$D:$D,MATCH($B189,Madde_Listesi!$B:$B,0)),"Kod yok"))</f>
        <v>Bulaşma</v>
      </c>
      <c r="F189" s="19" t="str">
        <f aca="false">IF($B189="","",IFERROR(INDEX(Madde_Listesi!$E:$E,MATCH($B189,Madde_Listesi!$B:$B,0)),"Kod yok"))</f>
        <v>Kritik</v>
      </c>
      <c r="G189" s="19" t="str">
        <f aca="false">IF($B189="","",IFERROR(INDEX(Madde_Listesi!$F:$F,MATCH($B189,Madde_Listesi!$B:$B,0)),"Kod yok"))</f>
        <v>Ürün tarihleme ve etiketleme</v>
      </c>
      <c r="H189" s="19" t="str">
        <f aca="false">IF($A189="","",IFERROR(INDEX(Denetimler!$C:$C,MATCH($A189,Denetimler!$A:$A,0)),"No yok"))</f>
        <v>Mağaza H</v>
      </c>
      <c r="I189" s="19" t="str">
        <f aca="false">IF($A189="","",IFERROR(INDEX(Denetimler!$D:$D,MATCH($A189,Denetimler!$A:$A,0)),"No yok"))</f>
        <v>RSA</v>
      </c>
      <c r="J189" s="19" t="str">
        <f aca="false">IF($A189="","",IFERROR(INDEX(Denetimler!$E:$E,MATCH($A189,Denetimler!$A:$A,0)),"No yok"))</f>
        <v>İç denetim</v>
      </c>
      <c r="K189" s="25" t="n">
        <f aca="false">IF($A189="","",IFERROR(INDEX(Denetimler!$B:$B,MATCH($A189,Denetimler!$A:$A,0)),"No yok"))</f>
        <v>46248</v>
      </c>
    </row>
    <row r="190" customFormat="false" ht="15" hidden="false" customHeight="false" outlineLevel="0" collapsed="false">
      <c r="A190" s="24" t="s">
        <v>194</v>
      </c>
      <c r="B190" s="24" t="s">
        <v>214</v>
      </c>
      <c r="C190" s="24" t="s">
        <v>206</v>
      </c>
      <c r="D190" s="19" t="str">
        <f aca="false">IF($B190="","",IFERROR(INDEX(Madde_Listesi!$C:$C,MATCH($B190,Madde_Listesi!$B:$B,0)),"Kod yok"))</f>
        <v>Sıcaklık kayıtları tam ve zamanında tutulmuş</v>
      </c>
      <c r="E190" s="19" t="str">
        <f aca="false">IF($B190="","",IFERROR(INDEX(Madde_Listesi!$D:$D,MATCH($B190,Madde_Listesi!$B:$B,0)),"Kod yok"))</f>
        <v>Sıcaklık</v>
      </c>
      <c r="F190" s="19" t="str">
        <f aca="false">IF($B190="","",IFERROR(INDEX(Madde_Listesi!$E:$E,MATCH($B190,Madde_Listesi!$B:$B,0)),"Kod yok"))</f>
        <v>Major</v>
      </c>
      <c r="G190" s="19" t="str">
        <f aca="false">IF($B190="","",IFERROR(INDEX(Madde_Listesi!$F:$F,MATCH($B190,Madde_Listesi!$B:$B,0)),"Kod yok"))</f>
        <v>Soğuk zincir ve sıcaklık kontrolü</v>
      </c>
      <c r="H190" s="19" t="str">
        <f aca="false">IF($A190="","",IFERROR(INDEX(Denetimler!$C:$C,MATCH($A190,Denetimler!$A:$A,0)),"No yok"))</f>
        <v>Mağaza H</v>
      </c>
      <c r="I190" s="19" t="str">
        <f aca="false">IF($A190="","",IFERROR(INDEX(Denetimler!$D:$D,MATCH($A190,Denetimler!$A:$A,0)),"No yok"))</f>
        <v>RSA</v>
      </c>
      <c r="J190" s="19" t="str">
        <f aca="false">IF($A190="","",IFERROR(INDEX(Denetimler!$E:$E,MATCH($A190,Denetimler!$A:$A,0)),"No yok"))</f>
        <v>İç denetim</v>
      </c>
      <c r="K190" s="25" t="n">
        <f aca="false">IF($A190="","",IFERROR(INDEX(Denetimler!$B:$B,MATCH($A190,Denetimler!$A:$A,0)),"No yok"))</f>
        <v>46248</v>
      </c>
    </row>
    <row r="191" customFormat="false" ht="15" hidden="false" customHeight="false" outlineLevel="0" collapsed="false">
      <c r="A191" s="24" t="s">
        <v>179</v>
      </c>
      <c r="B191" s="24" t="s">
        <v>205</v>
      </c>
      <c r="C191" s="24" t="s">
        <v>206</v>
      </c>
      <c r="D191" s="19" t="str">
        <f aca="false">IF($B191="","",IFERROR(INDEX(Madde_Listesi!$C:$C,MATCH($B191,Madde_Listesi!$B:$B,0)),"Kod yok"))</f>
        <v>Stok sayımı ve sipariş kayıtları tutarlı</v>
      </c>
      <c r="E191" s="19" t="str">
        <f aca="false">IF($B191="","",IFERROR(INDEX(Madde_Listesi!$D:$D,MATCH($B191,Madde_Listesi!$B:$B,0)),"Kod yok"))</f>
        <v>Stok</v>
      </c>
      <c r="F191" s="19" t="str">
        <f aca="false">IF($B191="","",IFERROR(INDEX(Madde_Listesi!$E:$E,MATCH($B191,Madde_Listesi!$B:$B,0)),"Kod yok"))</f>
        <v>Major</v>
      </c>
      <c r="G191" s="19" t="str">
        <f aca="false">IF($B191="","",IFERROR(INDEX(Madde_Listesi!$F:$F,MATCH($B191,Madde_Listesi!$B:$B,0)),"Kod yok"))</f>
        <v>Stok ve sipariş yönetimi</v>
      </c>
      <c r="H191" s="19" t="str">
        <f aca="false">IF($A191="","",IFERROR(INDEX(Denetimler!$C:$C,MATCH($A191,Denetimler!$A:$A,0)),"No yok"))</f>
        <v>Mağaza A</v>
      </c>
      <c r="I191" s="19" t="str">
        <f aca="false">IF($A191="","",IFERROR(INDEX(Denetimler!$D:$D,MATCH($A191,Denetimler!$A:$A,0)),"No yok"))</f>
        <v>ASA</v>
      </c>
      <c r="J191" s="19" t="str">
        <f aca="false">IF($A191="","",IFERROR(INDEX(Denetimler!$E:$E,MATCH($A191,Denetimler!$A:$A,0)),"No yok"))</f>
        <v>Esas denetim</v>
      </c>
      <c r="K191" s="25" t="n">
        <f aca="false">IF($A191="","",IFERROR(INDEX(Denetimler!$B:$B,MATCH($A191,Denetimler!$A:$A,0)),"No yok"))</f>
        <v>46183</v>
      </c>
    </row>
    <row r="192" customFormat="false" ht="15" hidden="false" customHeight="false" outlineLevel="0" collapsed="false">
      <c r="A192" s="24" t="s">
        <v>179</v>
      </c>
      <c r="B192" s="24" t="s">
        <v>209</v>
      </c>
      <c r="C192" s="24" t="s">
        <v>206</v>
      </c>
      <c r="D192" s="19" t="str">
        <f aca="false">IF($B192="","",IFERROR(INDEX(Madde_Listesi!$C:$C,MATCH($B192,Madde_Listesi!$B:$B,0)),"Kod yok"))</f>
        <v>Ürün sunumu marka standartlarına uygun</v>
      </c>
      <c r="E192" s="19" t="str">
        <f aca="false">IF($B192="","",IFERROR(INDEX(Madde_Listesi!$D:$D,MATCH($B192,Madde_Listesi!$B:$B,0)),"Kod yok"))</f>
        <v>Misafir deneyimi</v>
      </c>
      <c r="F192" s="19" t="str">
        <f aca="false">IF($B192="","",IFERROR(INDEX(Madde_Listesi!$E:$E,MATCH($B192,Madde_Listesi!$B:$B,0)),"Kod yok"))</f>
        <v>Major</v>
      </c>
      <c r="G192" s="19" t="str">
        <f aca="false">IF($B192="","",IFERROR(INDEX(Madde_Listesi!$F:$F,MATCH($B192,Madde_Listesi!$B:$B,0)),"Kod yok"))</f>
        <v>Ürün hazırlama standartları</v>
      </c>
      <c r="H192" s="19" t="str">
        <f aca="false">IF($A192="","",IFERROR(INDEX(Denetimler!$C:$C,MATCH($A192,Denetimler!$A:$A,0)),"No yok"))</f>
        <v>Mağaza A</v>
      </c>
      <c r="I192" s="19" t="str">
        <f aca="false">IF($A192="","",IFERROR(INDEX(Denetimler!$D:$D,MATCH($A192,Denetimler!$A:$A,0)),"No yok"))</f>
        <v>ASA</v>
      </c>
      <c r="J192" s="19" t="str">
        <f aca="false">IF($A192="","",IFERROR(INDEX(Denetimler!$E:$E,MATCH($A192,Denetimler!$A:$A,0)),"No yok"))</f>
        <v>Esas denetim</v>
      </c>
      <c r="K192" s="25" t="n">
        <f aca="false">IF($A192="","",IFERROR(INDEX(Denetimler!$B:$B,MATCH($A192,Denetimler!$A:$A,0)),"No yok"))</f>
        <v>46183</v>
      </c>
    </row>
    <row r="193" customFormat="false" ht="15" hidden="false" customHeight="false" outlineLevel="0" collapsed="false">
      <c r="A193" s="24" t="s">
        <v>179</v>
      </c>
      <c r="B193" s="24" t="s">
        <v>205</v>
      </c>
      <c r="C193" s="24" t="s">
        <v>206</v>
      </c>
      <c r="D193" s="19" t="str">
        <f aca="false">IF($B193="","",IFERROR(INDEX(Madde_Listesi!$C:$C,MATCH($B193,Madde_Listesi!$B:$B,0)),"Kod yok"))</f>
        <v>Stok sayımı ve sipariş kayıtları tutarlı</v>
      </c>
      <c r="E193" s="19" t="str">
        <f aca="false">IF($B193="","",IFERROR(INDEX(Madde_Listesi!$D:$D,MATCH($B193,Madde_Listesi!$B:$B,0)),"Kod yok"))</f>
        <v>Stok</v>
      </c>
      <c r="F193" s="19" t="str">
        <f aca="false">IF($B193="","",IFERROR(INDEX(Madde_Listesi!$E:$E,MATCH($B193,Madde_Listesi!$B:$B,0)),"Kod yok"))</f>
        <v>Major</v>
      </c>
      <c r="G193" s="19" t="str">
        <f aca="false">IF($B193="","",IFERROR(INDEX(Madde_Listesi!$F:$F,MATCH($B193,Madde_Listesi!$B:$B,0)),"Kod yok"))</f>
        <v>Stok ve sipariş yönetimi</v>
      </c>
      <c r="H193" s="19" t="str">
        <f aca="false">IF($A193="","",IFERROR(INDEX(Denetimler!$C:$C,MATCH($A193,Denetimler!$A:$A,0)),"No yok"))</f>
        <v>Mağaza A</v>
      </c>
      <c r="I193" s="19" t="str">
        <f aca="false">IF($A193="","",IFERROR(INDEX(Denetimler!$D:$D,MATCH($A193,Denetimler!$A:$A,0)),"No yok"))</f>
        <v>ASA</v>
      </c>
      <c r="J193" s="19" t="str">
        <f aca="false">IF($A193="","",IFERROR(INDEX(Denetimler!$E:$E,MATCH($A193,Denetimler!$A:$A,0)),"No yok"))</f>
        <v>Esas denetim</v>
      </c>
      <c r="K193" s="25" t="n">
        <f aca="false">IF($A193="","",IFERROR(INDEX(Denetimler!$B:$B,MATCH($A193,Denetimler!$A:$A,0)),"No yok"))</f>
        <v>46183</v>
      </c>
    </row>
    <row r="194" customFormat="false" ht="15" hidden="false" customHeight="false" outlineLevel="0" collapsed="false">
      <c r="A194" s="24" t="s">
        <v>179</v>
      </c>
      <c r="B194" s="24" t="s">
        <v>215</v>
      </c>
      <c r="C194" s="24" t="s">
        <v>206</v>
      </c>
      <c r="D194" s="19" t="str">
        <f aca="false">IF($B194="","",IFERROR(INDEX(Madde_Listesi!$C:$C,MATCH($B194,Madde_Listesi!$B:$B,0)),"Kod yok"))</f>
        <v>Ekipman bakım kayıtları güncel</v>
      </c>
      <c r="E194" s="19" t="str">
        <f aca="false">IF($B194="","",IFERROR(INDEX(Madde_Listesi!$D:$D,MATCH($B194,Madde_Listesi!$B:$B,0)),"Kod yok"))</f>
        <v>Ekipman</v>
      </c>
      <c r="F194" s="19" t="str">
        <f aca="false">IF($B194="","",IFERROR(INDEX(Madde_Listesi!$E:$E,MATCH($B194,Madde_Listesi!$B:$B,0)),"Kod yok"))</f>
        <v>Minör</v>
      </c>
      <c r="G194" s="19" t="str">
        <f aca="false">IF($B194="","",IFERROR(INDEX(Madde_Listesi!$F:$F,MATCH($B194,Madde_Listesi!$B:$B,0)),"Kod yok"))</f>
        <v>Ekipman bakımı</v>
      </c>
      <c r="H194" s="19" t="str">
        <f aca="false">IF($A194="","",IFERROR(INDEX(Denetimler!$C:$C,MATCH($A194,Denetimler!$A:$A,0)),"No yok"))</f>
        <v>Mağaza A</v>
      </c>
      <c r="I194" s="19" t="str">
        <f aca="false">IF($A194="","",IFERROR(INDEX(Denetimler!$D:$D,MATCH($A194,Denetimler!$A:$A,0)),"No yok"))</f>
        <v>ASA</v>
      </c>
      <c r="J194" s="19" t="str">
        <f aca="false">IF($A194="","",IFERROR(INDEX(Denetimler!$E:$E,MATCH($A194,Denetimler!$A:$A,0)),"No yok"))</f>
        <v>Esas denetim</v>
      </c>
      <c r="K194" s="25" t="n">
        <f aca="false">IF($A194="","",IFERROR(INDEX(Denetimler!$B:$B,MATCH($A194,Denetimler!$A:$A,0)),"No yok"))</f>
        <v>46183</v>
      </c>
    </row>
    <row r="195" customFormat="false" ht="15" hidden="false" customHeight="false" outlineLevel="0" collapsed="false">
      <c r="A195" s="24" t="s">
        <v>192</v>
      </c>
      <c r="B195" s="24" t="s">
        <v>224</v>
      </c>
      <c r="C195" s="24" t="s">
        <v>206</v>
      </c>
      <c r="D195" s="19" t="str">
        <f aca="false">IF($B195="","",IFERROR(INDEX(Madde_Listesi!$C:$C,MATCH($B195,Madde_Listesi!$B:$B,0)),"Kod yok"))</f>
        <v>İptal ve iade işlemleri yönetici onaylı</v>
      </c>
      <c r="E195" s="19" t="str">
        <f aca="false">IF($B195="","",IFERROR(INDEX(Madde_Listesi!$D:$D,MATCH($B195,Madde_Listesi!$B:$B,0)),"Kod yok"))</f>
        <v>İşlem</v>
      </c>
      <c r="F195" s="19" t="str">
        <f aca="false">IF($B195="","",IFERROR(INDEX(Madde_Listesi!$E:$E,MATCH($B195,Madde_Listesi!$B:$B,0)),"Kod yok"))</f>
        <v>Major</v>
      </c>
      <c r="G195" s="19" t="str">
        <f aca="false">IF($B195="","",IFERROR(INDEX(Madde_Listesi!$F:$F,MATCH($B195,Madde_Listesi!$B:$B,0)),"Kod yok"))</f>
        <v>İptal ve iade süreçleri</v>
      </c>
      <c r="H195" s="19" t="str">
        <f aca="false">IF($A195="","",IFERROR(INDEX(Denetimler!$C:$C,MATCH($A195,Denetimler!$A:$A,0)),"No yok"))</f>
        <v>Mağaza A</v>
      </c>
      <c r="I195" s="19" t="str">
        <f aca="false">IF($A195="","",IFERROR(INDEX(Denetimler!$D:$D,MATCH($A195,Denetimler!$A:$A,0)),"No yok"))</f>
        <v>PAP</v>
      </c>
      <c r="J195" s="19" t="str">
        <f aca="false">IF($A195="","",IFERROR(INDEX(Denetimler!$E:$E,MATCH($A195,Denetimler!$A:$A,0)),"No yok"))</f>
        <v>Esas denetim</v>
      </c>
      <c r="K195" s="25" t="n">
        <f aca="false">IF($A195="","",IFERROR(INDEX(Denetimler!$B:$B,MATCH($A195,Denetimler!$A:$A,0)),"No yok"))</f>
        <v>46245</v>
      </c>
    </row>
    <row r="196" customFormat="false" ht="15" hidden="false" customHeight="false" outlineLevel="0" collapsed="false">
      <c r="A196" s="24" t="s">
        <v>192</v>
      </c>
      <c r="B196" s="24" t="s">
        <v>218</v>
      </c>
      <c r="C196" s="24" t="s">
        <v>206</v>
      </c>
      <c r="D196" s="19" t="str">
        <f aca="false">IF($B196="","",IFERROR(INDEX(Madde_Listesi!$C:$C,MATCH($B196,Madde_Listesi!$B:$B,0)),"Kod yok"))</f>
        <v>Depo ve kasa anahtarları yetkili kişide</v>
      </c>
      <c r="E196" s="19" t="str">
        <f aca="false">IF($B196="","",IFERROR(INDEX(Madde_Listesi!$D:$D,MATCH($B196,Madde_Listesi!$B:$B,0)),"Kod yok"))</f>
        <v>Güvenlik</v>
      </c>
      <c r="F196" s="19" t="str">
        <f aca="false">IF($B196="","",IFERROR(INDEX(Madde_Listesi!$E:$E,MATCH($B196,Madde_Listesi!$B:$B,0)),"Kod yok"))</f>
        <v>Major</v>
      </c>
      <c r="G196" s="19" t="str">
        <f aca="false">IF($B196="","",IFERROR(INDEX(Madde_Listesi!$F:$F,MATCH($B196,Madde_Listesi!$B:$B,0)),"Kod yok"))</f>
        <v>Mağaza güvenliği</v>
      </c>
      <c r="H196" s="19" t="str">
        <f aca="false">IF($A196="","",IFERROR(INDEX(Denetimler!$C:$C,MATCH($A196,Denetimler!$A:$A,0)),"No yok"))</f>
        <v>Mağaza A</v>
      </c>
      <c r="I196" s="19" t="str">
        <f aca="false">IF($A196="","",IFERROR(INDEX(Denetimler!$D:$D,MATCH($A196,Denetimler!$A:$A,0)),"No yok"))</f>
        <v>PAP</v>
      </c>
      <c r="J196" s="19" t="str">
        <f aca="false">IF($A196="","",IFERROR(INDEX(Denetimler!$E:$E,MATCH($A196,Denetimler!$A:$A,0)),"No yok"))</f>
        <v>Esas denetim</v>
      </c>
      <c r="K196" s="25" t="n">
        <f aca="false">IF($A196="","",IFERROR(INDEX(Denetimler!$B:$B,MATCH($A196,Denetimler!$A:$A,0)),"No yok"))</f>
        <v>46245</v>
      </c>
    </row>
    <row r="197" customFormat="false" ht="15" hidden="false" customHeight="false" outlineLevel="0" collapsed="false">
      <c r="A197" s="24" t="s">
        <v>193</v>
      </c>
      <c r="B197" s="24" t="s">
        <v>223</v>
      </c>
      <c r="C197" s="24" t="s">
        <v>206</v>
      </c>
      <c r="D197" s="19" t="str">
        <f aca="false">IF($B197="","",IFERROR(INDEX(Madde_Listesi!$C:$C,MATCH($B197,Madde_Listesi!$B:$B,0)),"Kod yok"))</f>
        <v>Ürünlerin son kullanma tarihleri geçerli ve etiketli</v>
      </c>
      <c r="E197" s="19" t="str">
        <f aca="false">IF($B197="","",IFERROR(INDEX(Madde_Listesi!$D:$D,MATCH($B197,Madde_Listesi!$B:$B,0)),"Kod yok"))</f>
        <v>Bulaşma</v>
      </c>
      <c r="F197" s="19" t="str">
        <f aca="false">IF($B197="","",IFERROR(INDEX(Madde_Listesi!$E:$E,MATCH($B197,Madde_Listesi!$B:$B,0)),"Kod yok"))</f>
        <v>Kritik</v>
      </c>
      <c r="G197" s="19" t="str">
        <f aca="false">IF($B197="","",IFERROR(INDEX(Madde_Listesi!$F:$F,MATCH($B197,Madde_Listesi!$B:$B,0)),"Kod yok"))</f>
        <v>Ürün tarihleme ve etiketleme</v>
      </c>
      <c r="H197" s="19" t="str">
        <f aca="false">IF($A197="","",IFERROR(INDEX(Denetimler!$C:$C,MATCH($A197,Denetimler!$A:$A,0)),"No yok"))</f>
        <v>Mağaza A</v>
      </c>
      <c r="I197" s="19" t="str">
        <f aca="false">IF($A197="","",IFERROR(INDEX(Denetimler!$D:$D,MATCH($A197,Denetimler!$A:$A,0)),"No yok"))</f>
        <v>RSA</v>
      </c>
      <c r="J197" s="19" t="str">
        <f aca="false">IF($A197="","",IFERROR(INDEX(Denetimler!$E:$E,MATCH($A197,Denetimler!$A:$A,0)),"No yok"))</f>
        <v>Esas denetim</v>
      </c>
      <c r="K197" s="25" t="n">
        <f aca="false">IF($A197="","",IFERROR(INDEX(Denetimler!$B:$B,MATCH($A197,Denetimler!$A:$A,0)),"No yok"))</f>
        <v>46246</v>
      </c>
    </row>
    <row r="198" customFormat="false" ht="15" hidden="false" customHeight="false" outlineLevel="0" collapsed="false">
      <c r="A198" s="24" t="s">
        <v>193</v>
      </c>
      <c r="B198" s="24" t="s">
        <v>213</v>
      </c>
      <c r="C198" s="24" t="s">
        <v>206</v>
      </c>
      <c r="D198" s="19" t="str">
        <f aca="false">IF($B198="","",IFERROR(INDEX(Madde_Listesi!$C:$C,MATCH($B198,Madde_Listesi!$B:$B,0)),"Kod yok"))</f>
        <v>Soğutucular uygun sıcaklıkta</v>
      </c>
      <c r="E198" s="19" t="str">
        <f aca="false">IF($B198="","",IFERROR(INDEX(Madde_Listesi!$D:$D,MATCH($B198,Madde_Listesi!$B:$B,0)),"Kod yok"))</f>
        <v>Sıcaklık</v>
      </c>
      <c r="F198" s="19" t="str">
        <f aca="false">IF($B198="","",IFERROR(INDEX(Madde_Listesi!$E:$E,MATCH($B198,Madde_Listesi!$B:$B,0)),"Kod yok"))</f>
        <v>Kritik</v>
      </c>
      <c r="G198" s="19" t="str">
        <f aca="false">IF($B198="","",IFERROR(INDEX(Madde_Listesi!$F:$F,MATCH($B198,Madde_Listesi!$B:$B,0)),"Kod yok"))</f>
        <v>Soğuk zincir ve sıcaklık kontrolü</v>
      </c>
      <c r="H198" s="19" t="str">
        <f aca="false">IF($A198="","",IFERROR(INDEX(Denetimler!$C:$C,MATCH($A198,Denetimler!$A:$A,0)),"No yok"))</f>
        <v>Mağaza A</v>
      </c>
      <c r="I198" s="19" t="str">
        <f aca="false">IF($A198="","",IFERROR(INDEX(Denetimler!$D:$D,MATCH($A198,Denetimler!$A:$A,0)),"No yok"))</f>
        <v>RSA</v>
      </c>
      <c r="J198" s="19" t="str">
        <f aca="false">IF($A198="","",IFERROR(INDEX(Denetimler!$E:$E,MATCH($A198,Denetimler!$A:$A,0)),"No yok"))</f>
        <v>Esas denetim</v>
      </c>
      <c r="K198" s="25" t="n">
        <f aca="false">IF($A198="","",IFERROR(INDEX(Denetimler!$B:$B,MATCH($A198,Denetimler!$A:$A,0)),"No yok"))</f>
        <v>46246</v>
      </c>
    </row>
    <row r="199" customFormat="false" ht="15" hidden="false" customHeight="false" outlineLevel="0" collapsed="false">
      <c r="A199" s="24" t="s">
        <v>193</v>
      </c>
      <c r="B199" s="24" t="s">
        <v>219</v>
      </c>
      <c r="C199" s="24" t="s">
        <v>206</v>
      </c>
      <c r="D199" s="19" t="str">
        <f aca="false">IF($B199="","",IFERROR(INDEX(Madde_Listesi!$C:$C,MATCH($B199,Madde_Listesi!$B:$B,0)),"Kod yok"))</f>
        <v>Depo ve arka alan duvar, zemin ve tavanları temiz ve sağlam</v>
      </c>
      <c r="E199" s="19" t="str">
        <f aca="false">IF($B199="","",IFERROR(INDEX(Madde_Listesi!$D:$D,MATCH($B199,Madde_Listesi!$B:$B,0)),"Kod yok"))</f>
        <v>Haşere</v>
      </c>
      <c r="F199" s="19" t="str">
        <f aca="false">IF($B199="","",IFERROR(INDEX(Madde_Listesi!$E:$E,MATCH($B199,Madde_Listesi!$B:$B,0)),"Kod yok"))</f>
        <v>Minör</v>
      </c>
      <c r="G199" s="19" t="str">
        <f aca="false">IF($B199="","",IFERROR(INDEX(Madde_Listesi!$F:$F,MATCH($B199,Madde_Listesi!$B:$B,0)),"Kod yok"))</f>
        <v>Haşere önleme</v>
      </c>
      <c r="H199" s="19" t="str">
        <f aca="false">IF($A199="","",IFERROR(INDEX(Denetimler!$C:$C,MATCH($A199,Denetimler!$A:$A,0)),"No yok"))</f>
        <v>Mağaza A</v>
      </c>
      <c r="I199" s="19" t="str">
        <f aca="false">IF($A199="","",IFERROR(INDEX(Denetimler!$D:$D,MATCH($A199,Denetimler!$A:$A,0)),"No yok"))</f>
        <v>RSA</v>
      </c>
      <c r="J199" s="19" t="str">
        <f aca="false">IF($A199="","",IFERROR(INDEX(Denetimler!$E:$E,MATCH($A199,Denetimler!$A:$A,0)),"No yok"))</f>
        <v>Esas denetim</v>
      </c>
      <c r="K199" s="25" t="n">
        <f aca="false">IF($A199="","",IFERROR(INDEX(Denetimler!$B:$B,MATCH($A199,Denetimler!$A:$A,0)),"No yok"))</f>
        <v>46246</v>
      </c>
    </row>
    <row r="200" customFormat="false" ht="15" hidden="false" customHeight="false" outlineLevel="0" collapsed="false">
      <c r="A200" s="24" t="s">
        <v>193</v>
      </c>
      <c r="B200" s="24" t="s">
        <v>223</v>
      </c>
      <c r="C200" s="24" t="s">
        <v>206</v>
      </c>
      <c r="D200" s="19" t="str">
        <f aca="false">IF($B200="","",IFERROR(INDEX(Madde_Listesi!$C:$C,MATCH($B200,Madde_Listesi!$B:$B,0)),"Kod yok"))</f>
        <v>Ürünlerin son kullanma tarihleri geçerli ve etiketli</v>
      </c>
      <c r="E200" s="19" t="str">
        <f aca="false">IF($B200="","",IFERROR(INDEX(Madde_Listesi!$D:$D,MATCH($B200,Madde_Listesi!$B:$B,0)),"Kod yok"))</f>
        <v>Bulaşma</v>
      </c>
      <c r="F200" s="19" t="str">
        <f aca="false">IF($B200="","",IFERROR(INDEX(Madde_Listesi!$E:$E,MATCH($B200,Madde_Listesi!$B:$B,0)),"Kod yok"))</f>
        <v>Kritik</v>
      </c>
      <c r="G200" s="19" t="str">
        <f aca="false">IF($B200="","",IFERROR(INDEX(Madde_Listesi!$F:$F,MATCH($B200,Madde_Listesi!$B:$B,0)),"Kod yok"))</f>
        <v>Ürün tarihleme ve etiketleme</v>
      </c>
      <c r="H200" s="19" t="str">
        <f aca="false">IF($A200="","",IFERROR(INDEX(Denetimler!$C:$C,MATCH($A200,Denetimler!$A:$A,0)),"No yok"))</f>
        <v>Mağaza A</v>
      </c>
      <c r="I200" s="19" t="str">
        <f aca="false">IF($A200="","",IFERROR(INDEX(Denetimler!$D:$D,MATCH($A200,Denetimler!$A:$A,0)),"No yok"))</f>
        <v>RSA</v>
      </c>
      <c r="J200" s="19" t="str">
        <f aca="false">IF($A200="","",IFERROR(INDEX(Denetimler!$E:$E,MATCH($A200,Denetimler!$A:$A,0)),"No yok"))</f>
        <v>Esas denetim</v>
      </c>
      <c r="K200" s="25" t="n">
        <f aca="false">IF($A200="","",IFERROR(INDEX(Denetimler!$B:$B,MATCH($A200,Denetimler!$A:$A,0)),"No yok"))</f>
        <v>46246</v>
      </c>
    </row>
    <row r="201" customFormat="false" ht="15" hidden="false" customHeight="false" outlineLevel="0" collapsed="false">
      <c r="A201" s="24" t="s">
        <v>169</v>
      </c>
      <c r="B201" s="24" t="s">
        <v>207</v>
      </c>
      <c r="C201" s="24" t="s">
        <v>206</v>
      </c>
      <c r="D201" s="19" t="str">
        <f aca="false">IF($B201="","",IFERROR(INDEX(Madde_Listesi!$C:$C,MATCH($B201,Madde_Listesi!$B:$B,0)),"Kod yok"))</f>
        <v>Vardiya planı yoğunluğa uygun hazırlanmış</v>
      </c>
      <c r="E201" s="19" t="str">
        <f aca="false">IF($B201="","",IFERROR(INDEX(Madde_Listesi!$D:$D,MATCH($B201,Madde_Listesi!$B:$B,0)),"Kod yok"))</f>
        <v>Operasyon</v>
      </c>
      <c r="F201" s="19" t="str">
        <f aca="false">IF($B201="","",IFERROR(INDEX(Madde_Listesi!$E:$E,MATCH($B201,Madde_Listesi!$B:$B,0)),"Kod yok"))</f>
        <v>Major</v>
      </c>
      <c r="G201" s="19" t="str">
        <f aca="false">IF($B201="","",IFERROR(INDEX(Madde_Listesi!$F:$F,MATCH($B201,Madde_Listesi!$B:$B,0)),"Kod yok"))</f>
        <v>Vardiya planlama</v>
      </c>
      <c r="H201" s="19" t="str">
        <f aca="false">IF($A201="","",IFERROR(INDEX(Denetimler!$C:$C,MATCH($A201,Denetimler!$A:$A,0)),"No yok"))</f>
        <v>Mağaza B</v>
      </c>
      <c r="I201" s="19" t="str">
        <f aca="false">IF($A201="","",IFERROR(INDEX(Denetimler!$D:$D,MATCH($A201,Denetimler!$A:$A,0)),"No yok"))</f>
        <v>ASA</v>
      </c>
      <c r="J201" s="19" t="str">
        <f aca="false">IF($A201="","",IFERROR(INDEX(Denetimler!$E:$E,MATCH($A201,Denetimler!$A:$A,0)),"No yok"))</f>
        <v>Esas denetim</v>
      </c>
      <c r="K201" s="25" t="n">
        <f aca="false">IF($A201="","",IFERROR(INDEX(Denetimler!$B:$B,MATCH($A201,Denetimler!$A:$A,0)),"No yok"))</f>
        <v>46159</v>
      </c>
    </row>
    <row r="202" customFormat="false" ht="15" hidden="false" customHeight="false" outlineLevel="0" collapsed="false">
      <c r="A202" s="24" t="s">
        <v>178</v>
      </c>
      <c r="B202" s="24" t="s">
        <v>224</v>
      </c>
      <c r="C202" s="24" t="s">
        <v>206</v>
      </c>
      <c r="D202" s="19" t="str">
        <f aca="false">IF($B202="","",IFERROR(INDEX(Madde_Listesi!$C:$C,MATCH($B202,Madde_Listesi!$B:$B,0)),"Kod yok"))</f>
        <v>İptal ve iade işlemleri yönetici onaylı</v>
      </c>
      <c r="E202" s="19" t="str">
        <f aca="false">IF($B202="","",IFERROR(INDEX(Madde_Listesi!$D:$D,MATCH($B202,Madde_Listesi!$B:$B,0)),"Kod yok"))</f>
        <v>İşlem</v>
      </c>
      <c r="F202" s="19" t="str">
        <f aca="false">IF($B202="","",IFERROR(INDEX(Madde_Listesi!$E:$E,MATCH($B202,Madde_Listesi!$B:$B,0)),"Kod yok"))</f>
        <v>Major</v>
      </c>
      <c r="G202" s="19" t="str">
        <f aca="false">IF($B202="","",IFERROR(INDEX(Madde_Listesi!$F:$F,MATCH($B202,Madde_Listesi!$B:$B,0)),"Kod yok"))</f>
        <v>İptal ve iade süreçleri</v>
      </c>
      <c r="H202" s="19" t="str">
        <f aca="false">IF($A202="","",IFERROR(INDEX(Denetimler!$C:$C,MATCH($A202,Denetimler!$A:$A,0)),"No yok"))</f>
        <v>Mağaza B</v>
      </c>
      <c r="I202" s="19" t="str">
        <f aca="false">IF($A202="","",IFERROR(INDEX(Denetimler!$D:$D,MATCH($A202,Denetimler!$A:$A,0)),"No yok"))</f>
        <v>PAP</v>
      </c>
      <c r="J202" s="19" t="str">
        <f aca="false">IF($A202="","",IFERROR(INDEX(Denetimler!$E:$E,MATCH($A202,Denetimler!$A:$A,0)),"No yok"))</f>
        <v>Esas denetim</v>
      </c>
      <c r="K202" s="25" t="n">
        <f aca="false">IF($A202="","",IFERROR(INDEX(Denetimler!$B:$B,MATCH($A202,Denetimler!$A:$A,0)),"No yok"))</f>
        <v>46180</v>
      </c>
    </row>
    <row r="203" customFormat="false" ht="15" hidden="false" customHeight="false" outlineLevel="0" collapsed="false">
      <c r="A203" s="24" t="s">
        <v>178</v>
      </c>
      <c r="B203" s="24" t="s">
        <v>226</v>
      </c>
      <c r="C203" s="24" t="s">
        <v>206</v>
      </c>
      <c r="D203" s="19" t="str">
        <f aca="false">IF($B203="","",IFERROR(INDEX(Madde_Listesi!$C:$C,MATCH($B203,Madde_Listesi!$B:$B,0)),"Kod yok"))</f>
        <v>Kasa farkları kayıt altına alınmış ve açıklanmış</v>
      </c>
      <c r="E203" s="19" t="str">
        <f aca="false">IF($B203="","",IFERROR(INDEX(Madde_Listesi!$D:$D,MATCH($B203,Madde_Listesi!$B:$B,0)),"Kod yok"))</f>
        <v>Nakit</v>
      </c>
      <c r="F203" s="19" t="str">
        <f aca="false">IF($B203="","",IFERROR(INDEX(Madde_Listesi!$E:$E,MATCH($B203,Madde_Listesi!$B:$B,0)),"Kod yok"))</f>
        <v>Kritik</v>
      </c>
      <c r="G203" s="19" t="str">
        <f aca="false">IF($B203="","",IFERROR(INDEX(Madde_Listesi!$F:$F,MATCH($B203,Madde_Listesi!$B:$B,0)),"Kod yok"))</f>
        <v>Kasa prosedürleri</v>
      </c>
      <c r="H203" s="19" t="str">
        <f aca="false">IF($A203="","",IFERROR(INDEX(Denetimler!$C:$C,MATCH($A203,Denetimler!$A:$A,0)),"No yok"))</f>
        <v>Mağaza B</v>
      </c>
      <c r="I203" s="19" t="str">
        <f aca="false">IF($A203="","",IFERROR(INDEX(Denetimler!$D:$D,MATCH($A203,Denetimler!$A:$A,0)),"No yok"))</f>
        <v>PAP</v>
      </c>
      <c r="J203" s="19" t="str">
        <f aca="false">IF($A203="","",IFERROR(INDEX(Denetimler!$E:$E,MATCH($A203,Denetimler!$A:$A,0)),"No yok"))</f>
        <v>Esas denetim</v>
      </c>
      <c r="K203" s="25" t="n">
        <f aca="false">IF($A203="","",IFERROR(INDEX(Denetimler!$B:$B,MATCH($A203,Denetimler!$A:$A,0)),"No yok"))</f>
        <v>46180</v>
      </c>
    </row>
    <row r="204" customFormat="false" ht="15" hidden="false" customHeight="false" outlineLevel="0" collapsed="false">
      <c r="A204" s="24" t="s">
        <v>139</v>
      </c>
      <c r="B204" s="24" t="s">
        <v>214</v>
      </c>
      <c r="C204" s="24" t="s">
        <v>206</v>
      </c>
      <c r="D204" s="19" t="str">
        <f aca="false">IF($B204="","",IFERROR(INDEX(Madde_Listesi!$C:$C,MATCH($B204,Madde_Listesi!$B:$B,0)),"Kod yok"))</f>
        <v>Sıcaklık kayıtları tam ve zamanında tutulmuş</v>
      </c>
      <c r="E204" s="19" t="str">
        <f aca="false">IF($B204="","",IFERROR(INDEX(Madde_Listesi!$D:$D,MATCH($B204,Madde_Listesi!$B:$B,0)),"Kod yok"))</f>
        <v>Sıcaklık</v>
      </c>
      <c r="F204" s="19" t="str">
        <f aca="false">IF($B204="","",IFERROR(INDEX(Madde_Listesi!$E:$E,MATCH($B204,Madde_Listesi!$B:$B,0)),"Kod yok"))</f>
        <v>Major</v>
      </c>
      <c r="G204" s="19" t="str">
        <f aca="false">IF($B204="","",IFERROR(INDEX(Madde_Listesi!$F:$F,MATCH($B204,Madde_Listesi!$B:$B,0)),"Kod yok"))</f>
        <v>Soğuk zincir ve sıcaklık kontrolü</v>
      </c>
      <c r="H204" s="19" t="str">
        <f aca="false">IF($A204="","",IFERROR(INDEX(Denetimler!$C:$C,MATCH($A204,Denetimler!$A:$A,0)),"No yok"))</f>
        <v>Mağaza B</v>
      </c>
      <c r="I204" s="19" t="str">
        <f aca="false">IF($A204="","",IFERROR(INDEX(Denetimler!$D:$D,MATCH($A204,Denetimler!$A:$A,0)),"No yok"))</f>
        <v>RSA</v>
      </c>
      <c r="J204" s="19" t="str">
        <f aca="false">IF($A204="","",IFERROR(INDEX(Denetimler!$E:$E,MATCH($A204,Denetimler!$A:$A,0)),"No yok"))</f>
        <v>Esas denetim</v>
      </c>
      <c r="K204" s="25" t="n">
        <f aca="false">IF($A204="","",IFERROR(INDEX(Denetimler!$B:$B,MATCH($A204,Denetimler!$A:$A,0)),"No yok"))</f>
        <v>46082</v>
      </c>
    </row>
    <row r="205" customFormat="false" ht="15" hidden="false" customHeight="false" outlineLevel="0" collapsed="false">
      <c r="A205" s="24" t="s">
        <v>181</v>
      </c>
      <c r="B205" s="24" t="s">
        <v>220</v>
      </c>
      <c r="C205" s="24" t="s">
        <v>206</v>
      </c>
      <c r="D205" s="19" t="str">
        <f aca="false">IF($B205="","",IFERROR(INDEX(Madde_Listesi!$C:$C,MATCH($B205,Madde_Listesi!$B:$B,0)),"Kod yok"))</f>
        <v>Zorunlu eğitimler tamamlanmış</v>
      </c>
      <c r="E205" s="19" t="str">
        <f aca="false">IF($B205="","",IFERROR(INDEX(Madde_Listesi!$D:$D,MATCH($B205,Madde_Listesi!$B:$B,0)),"Kod yok"))</f>
        <v>Ekip</v>
      </c>
      <c r="F205" s="19" t="str">
        <f aca="false">IF($B205="","",IFERROR(INDEX(Madde_Listesi!$E:$E,MATCH($B205,Madde_Listesi!$B:$B,0)),"Kod yok"))</f>
        <v>Major</v>
      </c>
      <c r="G205" s="19" t="str">
        <f aca="false">IF($B205="","",IFERROR(INDEX(Madde_Listesi!$F:$F,MATCH($B205,Madde_Listesi!$B:$B,0)),"Kod yok"))</f>
        <v>Eğitim takibi</v>
      </c>
      <c r="H205" s="19" t="str">
        <f aca="false">IF($A205="","",IFERROR(INDEX(Denetimler!$C:$C,MATCH($A205,Denetimler!$A:$A,0)),"No yok"))</f>
        <v>Mağaza C</v>
      </c>
      <c r="I205" s="19" t="str">
        <f aca="false">IF($A205="","",IFERROR(INDEX(Denetimler!$D:$D,MATCH($A205,Denetimler!$A:$A,0)),"No yok"))</f>
        <v>ASA</v>
      </c>
      <c r="J205" s="19" t="str">
        <f aca="false">IF($A205="","",IFERROR(INDEX(Denetimler!$E:$E,MATCH($A205,Denetimler!$A:$A,0)),"No yok"))</f>
        <v>Esas denetim</v>
      </c>
      <c r="K205" s="25" t="n">
        <f aca="false">IF($A205="","",IFERROR(INDEX(Denetimler!$B:$B,MATCH($A205,Denetimler!$A:$A,0)),"No yok"))</f>
        <v>46184</v>
      </c>
    </row>
    <row r="206" customFormat="false" ht="15" hidden="false" customHeight="false" outlineLevel="0" collapsed="false">
      <c r="A206" s="24" t="s">
        <v>146</v>
      </c>
      <c r="B206" s="24" t="s">
        <v>224</v>
      </c>
      <c r="C206" s="24" t="s">
        <v>206</v>
      </c>
      <c r="D206" s="19" t="str">
        <f aca="false">IF($B206="","",IFERROR(INDEX(Madde_Listesi!$C:$C,MATCH($B206,Madde_Listesi!$B:$B,0)),"Kod yok"))</f>
        <v>İptal ve iade işlemleri yönetici onaylı</v>
      </c>
      <c r="E206" s="19" t="str">
        <f aca="false">IF($B206="","",IFERROR(INDEX(Madde_Listesi!$D:$D,MATCH($B206,Madde_Listesi!$B:$B,0)),"Kod yok"))</f>
        <v>İşlem</v>
      </c>
      <c r="F206" s="19" t="str">
        <f aca="false">IF($B206="","",IFERROR(INDEX(Madde_Listesi!$E:$E,MATCH($B206,Madde_Listesi!$B:$B,0)),"Kod yok"))</f>
        <v>Major</v>
      </c>
      <c r="G206" s="19" t="str">
        <f aca="false">IF($B206="","",IFERROR(INDEX(Madde_Listesi!$F:$F,MATCH($B206,Madde_Listesi!$B:$B,0)),"Kod yok"))</f>
        <v>İptal ve iade süreçleri</v>
      </c>
      <c r="H206" s="19" t="str">
        <f aca="false">IF($A206="","",IFERROR(INDEX(Denetimler!$C:$C,MATCH($A206,Denetimler!$A:$A,0)),"No yok"))</f>
        <v>Mağaza C</v>
      </c>
      <c r="I206" s="19" t="str">
        <f aca="false">IF($A206="","",IFERROR(INDEX(Denetimler!$D:$D,MATCH($A206,Denetimler!$A:$A,0)),"No yok"))</f>
        <v>PAP</v>
      </c>
      <c r="J206" s="19" t="str">
        <f aca="false">IF($A206="","",IFERROR(INDEX(Denetimler!$E:$E,MATCH($A206,Denetimler!$A:$A,0)),"No yok"))</f>
        <v>Esas denetim</v>
      </c>
      <c r="K206" s="25" t="n">
        <f aca="false">IF($A206="","",IFERROR(INDEX(Denetimler!$B:$B,MATCH($A206,Denetimler!$A:$A,0)),"No yok"))</f>
        <v>46105</v>
      </c>
    </row>
    <row r="207" customFormat="false" ht="15" hidden="false" customHeight="false" outlineLevel="0" collapsed="false">
      <c r="A207" s="24" t="s">
        <v>146</v>
      </c>
      <c r="B207" s="24" t="s">
        <v>228</v>
      </c>
      <c r="C207" s="24" t="s">
        <v>206</v>
      </c>
      <c r="D207" s="19" t="str">
        <f aca="false">IF($B207="","",IFERROR(INDEX(Madde_Listesi!$C:$C,MATCH($B207,Madde_Listesi!$B:$B,0)),"Kod yok"))</f>
        <v>Personel indirimleri kurala uygun kullanılıyor</v>
      </c>
      <c r="E207" s="19" t="str">
        <f aca="false">IF($B207="","",IFERROR(INDEX(Madde_Listesi!$D:$D,MATCH($B207,Madde_Listesi!$B:$B,0)),"Kod yok"))</f>
        <v>İşlem</v>
      </c>
      <c r="F207" s="19" t="str">
        <f aca="false">IF($B207="","",IFERROR(INDEX(Madde_Listesi!$E:$E,MATCH($B207,Madde_Listesi!$B:$B,0)),"Kod yok"))</f>
        <v>Minör</v>
      </c>
      <c r="G207" s="19" t="str">
        <f aca="false">IF($B207="","",IFERROR(INDEX(Madde_Listesi!$F:$F,MATCH($B207,Madde_Listesi!$B:$B,0)),"Kod yok"))</f>
        <v>İptal ve iade süreçleri</v>
      </c>
      <c r="H207" s="19" t="str">
        <f aca="false">IF($A207="","",IFERROR(INDEX(Denetimler!$C:$C,MATCH($A207,Denetimler!$A:$A,0)),"No yok"))</f>
        <v>Mağaza C</v>
      </c>
      <c r="I207" s="19" t="str">
        <f aca="false">IF($A207="","",IFERROR(INDEX(Denetimler!$D:$D,MATCH($A207,Denetimler!$A:$A,0)),"No yok"))</f>
        <v>PAP</v>
      </c>
      <c r="J207" s="19" t="str">
        <f aca="false">IF($A207="","",IFERROR(INDEX(Denetimler!$E:$E,MATCH($A207,Denetimler!$A:$A,0)),"No yok"))</f>
        <v>Esas denetim</v>
      </c>
      <c r="K207" s="25" t="n">
        <f aca="false">IF($A207="","",IFERROR(INDEX(Denetimler!$B:$B,MATCH($A207,Denetimler!$A:$A,0)),"No yok"))</f>
        <v>46105</v>
      </c>
    </row>
    <row r="208" customFormat="false" ht="15" hidden="false" customHeight="false" outlineLevel="0" collapsed="false">
      <c r="A208" s="24" t="s">
        <v>147</v>
      </c>
      <c r="B208" s="24" t="s">
        <v>214</v>
      </c>
      <c r="C208" s="24" t="s">
        <v>206</v>
      </c>
      <c r="D208" s="19" t="str">
        <f aca="false">IF($B208="","",IFERROR(INDEX(Madde_Listesi!$C:$C,MATCH($B208,Madde_Listesi!$B:$B,0)),"Kod yok"))</f>
        <v>Sıcaklık kayıtları tam ve zamanında tutulmuş</v>
      </c>
      <c r="E208" s="19" t="str">
        <f aca="false">IF($B208="","",IFERROR(INDEX(Madde_Listesi!$D:$D,MATCH($B208,Madde_Listesi!$B:$B,0)),"Kod yok"))</f>
        <v>Sıcaklık</v>
      </c>
      <c r="F208" s="19" t="str">
        <f aca="false">IF($B208="","",IFERROR(INDEX(Madde_Listesi!$E:$E,MATCH($B208,Madde_Listesi!$B:$B,0)),"Kod yok"))</f>
        <v>Major</v>
      </c>
      <c r="G208" s="19" t="str">
        <f aca="false">IF($B208="","",IFERROR(INDEX(Madde_Listesi!$F:$F,MATCH($B208,Madde_Listesi!$B:$B,0)),"Kod yok"))</f>
        <v>Soğuk zincir ve sıcaklık kontrolü</v>
      </c>
      <c r="H208" s="19" t="str">
        <f aca="false">IF($A208="","",IFERROR(INDEX(Denetimler!$C:$C,MATCH($A208,Denetimler!$A:$A,0)),"No yok"))</f>
        <v>Mağaza C</v>
      </c>
      <c r="I208" s="19" t="str">
        <f aca="false">IF($A208="","",IFERROR(INDEX(Denetimler!$D:$D,MATCH($A208,Denetimler!$A:$A,0)),"No yok"))</f>
        <v>RSA</v>
      </c>
      <c r="J208" s="19" t="str">
        <f aca="false">IF($A208="","",IFERROR(INDEX(Denetimler!$E:$E,MATCH($A208,Denetimler!$A:$A,0)),"No yok"))</f>
        <v>Esas denetim</v>
      </c>
      <c r="K208" s="25" t="n">
        <f aca="false">IF($A208="","",IFERROR(INDEX(Denetimler!$B:$B,MATCH($A208,Denetimler!$A:$A,0)),"No yok"))</f>
        <v>46108</v>
      </c>
    </row>
    <row r="209" customFormat="false" ht="15" hidden="false" customHeight="false" outlineLevel="0" collapsed="false">
      <c r="A209" s="24" t="s">
        <v>147</v>
      </c>
      <c r="B209" s="24" t="s">
        <v>210</v>
      </c>
      <c r="C209" s="24" t="s">
        <v>206</v>
      </c>
      <c r="D209" s="19" t="str">
        <f aca="false">IF($B209="","",IFERROR(INDEX(Madde_Listesi!$C:$C,MATCH($B209,Madde_Listesi!$B:$B,0)),"Kod yok"))</f>
        <v>Kimyasallar etiketli ve gıdadan ayrı saklanıyor</v>
      </c>
      <c r="E209" s="19" t="str">
        <f aca="false">IF($B209="","",IFERROR(INDEX(Madde_Listesi!$D:$D,MATCH($B209,Madde_Listesi!$B:$B,0)),"Kod yok"))</f>
        <v>Bulaşma</v>
      </c>
      <c r="F209" s="19" t="str">
        <f aca="false">IF($B209="","",IFERROR(INDEX(Madde_Listesi!$E:$E,MATCH($B209,Madde_Listesi!$B:$B,0)),"Kod yok"))</f>
        <v>Major</v>
      </c>
      <c r="G209" s="19" t="str">
        <f aca="false">IF($B209="","",IFERROR(INDEX(Madde_Listesi!$F:$F,MATCH($B209,Madde_Listesi!$B:$B,0)),"Kod yok"))</f>
        <v>Kimyasal güvenliği</v>
      </c>
      <c r="H209" s="19" t="str">
        <f aca="false">IF($A209="","",IFERROR(INDEX(Denetimler!$C:$C,MATCH($A209,Denetimler!$A:$A,0)),"No yok"))</f>
        <v>Mağaza C</v>
      </c>
      <c r="I209" s="19" t="str">
        <f aca="false">IF($A209="","",IFERROR(INDEX(Denetimler!$D:$D,MATCH($A209,Denetimler!$A:$A,0)),"No yok"))</f>
        <v>RSA</v>
      </c>
      <c r="J209" s="19" t="str">
        <f aca="false">IF($A209="","",IFERROR(INDEX(Denetimler!$E:$E,MATCH($A209,Denetimler!$A:$A,0)),"No yok"))</f>
        <v>Esas denetim</v>
      </c>
      <c r="K209" s="25" t="n">
        <f aca="false">IF($A209="","",IFERROR(INDEX(Denetimler!$B:$B,MATCH($A209,Denetimler!$A:$A,0)),"No yok"))</f>
        <v>46108</v>
      </c>
    </row>
    <row r="210" customFormat="false" ht="15" hidden="false" customHeight="false" outlineLevel="0" collapsed="false">
      <c r="A210" s="24" t="s">
        <v>172</v>
      </c>
      <c r="B210" s="24" t="s">
        <v>205</v>
      </c>
      <c r="C210" s="24" t="s">
        <v>206</v>
      </c>
      <c r="D210" s="19" t="str">
        <f aca="false">IF($B210="","",IFERROR(INDEX(Madde_Listesi!$C:$C,MATCH($B210,Madde_Listesi!$B:$B,0)),"Kod yok"))</f>
        <v>Stok sayımı ve sipariş kayıtları tutarlı</v>
      </c>
      <c r="E210" s="19" t="str">
        <f aca="false">IF($B210="","",IFERROR(INDEX(Madde_Listesi!$D:$D,MATCH($B210,Madde_Listesi!$B:$B,0)),"Kod yok"))</f>
        <v>Stok</v>
      </c>
      <c r="F210" s="19" t="str">
        <f aca="false">IF($B210="","",IFERROR(INDEX(Madde_Listesi!$E:$E,MATCH($B210,Madde_Listesi!$B:$B,0)),"Kod yok"))</f>
        <v>Major</v>
      </c>
      <c r="G210" s="19" t="str">
        <f aca="false">IF($B210="","",IFERROR(INDEX(Madde_Listesi!$F:$F,MATCH($B210,Madde_Listesi!$B:$B,0)),"Kod yok"))</f>
        <v>Stok ve sipariş yönetimi</v>
      </c>
      <c r="H210" s="19" t="str">
        <f aca="false">IF($A210="","",IFERROR(INDEX(Denetimler!$C:$C,MATCH($A210,Denetimler!$A:$A,0)),"No yok"))</f>
        <v>Mağaza D</v>
      </c>
      <c r="I210" s="19" t="str">
        <f aca="false">IF($A210="","",IFERROR(INDEX(Denetimler!$D:$D,MATCH($A210,Denetimler!$A:$A,0)),"No yok"))</f>
        <v>ASA</v>
      </c>
      <c r="J210" s="19" t="str">
        <f aca="false">IF($A210="","",IFERROR(INDEX(Denetimler!$E:$E,MATCH($A210,Denetimler!$A:$A,0)),"No yok"))</f>
        <v>Esas denetim</v>
      </c>
      <c r="K210" s="25" t="n">
        <f aca="false">IF($A210="","",IFERROR(INDEX(Denetimler!$B:$B,MATCH($A210,Denetimler!$A:$A,0)),"No yok"))</f>
        <v>46170</v>
      </c>
    </row>
    <row r="211" customFormat="false" ht="15" hidden="false" customHeight="false" outlineLevel="0" collapsed="false">
      <c r="A211" s="24" t="s">
        <v>144</v>
      </c>
      <c r="B211" s="24" t="s">
        <v>226</v>
      </c>
      <c r="C211" s="24" t="s">
        <v>206</v>
      </c>
      <c r="D211" s="19" t="str">
        <f aca="false">IF($B211="","",IFERROR(INDEX(Madde_Listesi!$C:$C,MATCH($B211,Madde_Listesi!$B:$B,0)),"Kod yok"))</f>
        <v>Kasa farkları kayıt altına alınmış ve açıklanmış</v>
      </c>
      <c r="E211" s="19" t="str">
        <f aca="false">IF($B211="","",IFERROR(INDEX(Madde_Listesi!$D:$D,MATCH($B211,Madde_Listesi!$B:$B,0)),"Kod yok"))</f>
        <v>Nakit</v>
      </c>
      <c r="F211" s="19" t="str">
        <f aca="false">IF($B211="","",IFERROR(INDEX(Madde_Listesi!$E:$E,MATCH($B211,Madde_Listesi!$B:$B,0)),"Kod yok"))</f>
        <v>Kritik</v>
      </c>
      <c r="G211" s="19" t="str">
        <f aca="false">IF($B211="","",IFERROR(INDEX(Madde_Listesi!$F:$F,MATCH($B211,Madde_Listesi!$B:$B,0)),"Kod yok"))</f>
        <v>Kasa prosedürleri</v>
      </c>
      <c r="H211" s="19" t="str">
        <f aca="false">IF($A211="","",IFERROR(INDEX(Denetimler!$C:$C,MATCH($A211,Denetimler!$A:$A,0)),"No yok"))</f>
        <v>Mağaza D</v>
      </c>
      <c r="I211" s="19" t="str">
        <f aca="false">IF($A211="","",IFERROR(INDEX(Denetimler!$D:$D,MATCH($A211,Denetimler!$A:$A,0)),"No yok"))</f>
        <v>PAP</v>
      </c>
      <c r="J211" s="19" t="str">
        <f aca="false">IF($A211="","",IFERROR(INDEX(Denetimler!$E:$E,MATCH($A211,Denetimler!$A:$A,0)),"No yok"))</f>
        <v>Esas denetim</v>
      </c>
      <c r="K211" s="25" t="n">
        <f aca="false">IF($A211="","",IFERROR(INDEX(Denetimler!$B:$B,MATCH($A211,Denetimler!$A:$A,0)),"No yok"))</f>
        <v>46098</v>
      </c>
    </row>
    <row r="212" customFormat="false" ht="15" hidden="false" customHeight="false" outlineLevel="0" collapsed="false">
      <c r="A212" s="24" t="s">
        <v>144</v>
      </c>
      <c r="B212" s="24" t="s">
        <v>225</v>
      </c>
      <c r="C212" s="24" t="s">
        <v>206</v>
      </c>
      <c r="D212" s="19" t="str">
        <f aca="false">IF($B212="","",IFERROR(INDEX(Madde_Listesi!$C:$C,MATCH($B212,Madde_Listesi!$B:$B,0)),"Kod yok"))</f>
        <v>Fire ve zayi kayıtları belgeli</v>
      </c>
      <c r="E212" s="19" t="str">
        <f aca="false">IF($B212="","",IFERROR(INDEX(Madde_Listesi!$D:$D,MATCH($B212,Madde_Listesi!$B:$B,0)),"Kod yok"))</f>
        <v>Stok</v>
      </c>
      <c r="F212" s="19" t="str">
        <f aca="false">IF($B212="","",IFERROR(INDEX(Madde_Listesi!$E:$E,MATCH($B212,Madde_Listesi!$B:$B,0)),"Kod yok"))</f>
        <v>Major</v>
      </c>
      <c r="G212" s="19" t="str">
        <f aca="false">IF($B212="","",IFERROR(INDEX(Madde_Listesi!$F:$F,MATCH($B212,Madde_Listesi!$B:$B,0)),"Kod yok"))</f>
        <v>Stok ve sipariş yönetimi</v>
      </c>
      <c r="H212" s="19" t="str">
        <f aca="false">IF($A212="","",IFERROR(INDEX(Denetimler!$C:$C,MATCH($A212,Denetimler!$A:$A,0)),"No yok"))</f>
        <v>Mağaza D</v>
      </c>
      <c r="I212" s="19" t="str">
        <f aca="false">IF($A212="","",IFERROR(INDEX(Denetimler!$D:$D,MATCH($A212,Denetimler!$A:$A,0)),"No yok"))</f>
        <v>PAP</v>
      </c>
      <c r="J212" s="19" t="str">
        <f aca="false">IF($A212="","",IFERROR(INDEX(Denetimler!$E:$E,MATCH($A212,Denetimler!$A:$A,0)),"No yok"))</f>
        <v>Esas denetim</v>
      </c>
      <c r="K212" s="25" t="n">
        <f aca="false">IF($A212="","",IFERROR(INDEX(Denetimler!$B:$B,MATCH($A212,Denetimler!$A:$A,0)),"No yok"))</f>
        <v>46098</v>
      </c>
    </row>
    <row r="213" customFormat="false" ht="15" hidden="false" customHeight="false" outlineLevel="0" collapsed="false">
      <c r="A213" s="24" t="s">
        <v>144</v>
      </c>
      <c r="B213" s="24" t="s">
        <v>218</v>
      </c>
      <c r="C213" s="24" t="s">
        <v>206</v>
      </c>
      <c r="D213" s="19" t="str">
        <f aca="false">IF($B213="","",IFERROR(INDEX(Madde_Listesi!$C:$C,MATCH($B213,Madde_Listesi!$B:$B,0)),"Kod yok"))</f>
        <v>Depo ve kasa anahtarları yetkili kişide</v>
      </c>
      <c r="E213" s="19" t="str">
        <f aca="false">IF($B213="","",IFERROR(INDEX(Madde_Listesi!$D:$D,MATCH($B213,Madde_Listesi!$B:$B,0)),"Kod yok"))</f>
        <v>Güvenlik</v>
      </c>
      <c r="F213" s="19" t="str">
        <f aca="false">IF($B213="","",IFERROR(INDEX(Madde_Listesi!$E:$E,MATCH($B213,Madde_Listesi!$B:$B,0)),"Kod yok"))</f>
        <v>Major</v>
      </c>
      <c r="G213" s="19" t="str">
        <f aca="false">IF($B213="","",IFERROR(INDEX(Madde_Listesi!$F:$F,MATCH($B213,Madde_Listesi!$B:$B,0)),"Kod yok"))</f>
        <v>Mağaza güvenliği</v>
      </c>
      <c r="H213" s="19" t="str">
        <f aca="false">IF($A213="","",IFERROR(INDEX(Denetimler!$C:$C,MATCH($A213,Denetimler!$A:$A,0)),"No yok"))</f>
        <v>Mağaza D</v>
      </c>
      <c r="I213" s="19" t="str">
        <f aca="false">IF($A213="","",IFERROR(INDEX(Denetimler!$D:$D,MATCH($A213,Denetimler!$A:$A,0)),"No yok"))</f>
        <v>PAP</v>
      </c>
      <c r="J213" s="19" t="str">
        <f aca="false">IF($A213="","",IFERROR(INDEX(Denetimler!$E:$E,MATCH($A213,Denetimler!$A:$A,0)),"No yok"))</f>
        <v>Esas denetim</v>
      </c>
      <c r="K213" s="25" t="n">
        <f aca="false">IF($A213="","",IFERROR(INDEX(Denetimler!$B:$B,MATCH($A213,Denetimler!$A:$A,0)),"No yok"))</f>
        <v>46098</v>
      </c>
    </row>
    <row r="214" customFormat="false" ht="15" hidden="false" customHeight="false" outlineLevel="0" collapsed="false">
      <c r="A214" s="24" t="s">
        <v>144</v>
      </c>
      <c r="B214" s="24" t="s">
        <v>217</v>
      </c>
      <c r="C214" s="24" t="s">
        <v>206</v>
      </c>
      <c r="D214" s="19" t="str">
        <f aca="false">IF($B214="","",IFERROR(INDEX(Madde_Listesi!$C:$C,MATCH($B214,Madde_Listesi!$B:$B,0)),"Kod yok"))</f>
        <v>Kamera kayıtları erişilebilir ve süresi uygun</v>
      </c>
      <c r="E214" s="19" t="str">
        <f aca="false">IF($B214="","",IFERROR(INDEX(Madde_Listesi!$D:$D,MATCH($B214,Madde_Listesi!$B:$B,0)),"Kod yok"))</f>
        <v>Güvenlik</v>
      </c>
      <c r="F214" s="19" t="str">
        <f aca="false">IF($B214="","",IFERROR(INDEX(Madde_Listesi!$E:$E,MATCH($B214,Madde_Listesi!$B:$B,0)),"Kod yok"))</f>
        <v>Minör</v>
      </c>
      <c r="G214" s="19" t="str">
        <f aca="false">IF($B214="","",IFERROR(INDEX(Madde_Listesi!$F:$F,MATCH($B214,Madde_Listesi!$B:$B,0)),"Kod yok"))</f>
        <v>Mağaza güvenliği</v>
      </c>
      <c r="H214" s="19" t="str">
        <f aca="false">IF($A214="","",IFERROR(INDEX(Denetimler!$C:$C,MATCH($A214,Denetimler!$A:$A,0)),"No yok"))</f>
        <v>Mağaza D</v>
      </c>
      <c r="I214" s="19" t="str">
        <f aca="false">IF($A214="","",IFERROR(INDEX(Denetimler!$D:$D,MATCH($A214,Denetimler!$A:$A,0)),"No yok"))</f>
        <v>PAP</v>
      </c>
      <c r="J214" s="19" t="str">
        <f aca="false">IF($A214="","",IFERROR(INDEX(Denetimler!$E:$E,MATCH($A214,Denetimler!$A:$A,0)),"No yok"))</f>
        <v>Esas denetim</v>
      </c>
      <c r="K214" s="25" t="n">
        <f aca="false">IF($A214="","",IFERROR(INDEX(Denetimler!$B:$B,MATCH($A214,Denetimler!$A:$A,0)),"No yok"))</f>
        <v>46098</v>
      </c>
    </row>
    <row r="215" customFormat="false" ht="15" hidden="false" customHeight="false" outlineLevel="0" collapsed="false">
      <c r="A215" s="24" t="s">
        <v>144</v>
      </c>
      <c r="B215" s="24" t="s">
        <v>224</v>
      </c>
      <c r="C215" s="24" t="s">
        <v>206</v>
      </c>
      <c r="D215" s="19" t="str">
        <f aca="false">IF($B215="","",IFERROR(INDEX(Madde_Listesi!$C:$C,MATCH($B215,Madde_Listesi!$B:$B,0)),"Kod yok"))</f>
        <v>İptal ve iade işlemleri yönetici onaylı</v>
      </c>
      <c r="E215" s="19" t="str">
        <f aca="false">IF($B215="","",IFERROR(INDEX(Madde_Listesi!$D:$D,MATCH($B215,Madde_Listesi!$B:$B,0)),"Kod yok"))</f>
        <v>İşlem</v>
      </c>
      <c r="F215" s="19" t="str">
        <f aca="false">IF($B215="","",IFERROR(INDEX(Madde_Listesi!$E:$E,MATCH($B215,Madde_Listesi!$B:$B,0)),"Kod yok"))</f>
        <v>Major</v>
      </c>
      <c r="G215" s="19" t="str">
        <f aca="false">IF($B215="","",IFERROR(INDEX(Madde_Listesi!$F:$F,MATCH($B215,Madde_Listesi!$B:$B,0)),"Kod yok"))</f>
        <v>İptal ve iade süreçleri</v>
      </c>
      <c r="H215" s="19" t="str">
        <f aca="false">IF($A215="","",IFERROR(INDEX(Denetimler!$C:$C,MATCH($A215,Denetimler!$A:$A,0)),"No yok"))</f>
        <v>Mağaza D</v>
      </c>
      <c r="I215" s="19" t="str">
        <f aca="false">IF($A215="","",IFERROR(INDEX(Denetimler!$D:$D,MATCH($A215,Denetimler!$A:$A,0)),"No yok"))</f>
        <v>PAP</v>
      </c>
      <c r="J215" s="19" t="str">
        <f aca="false">IF($A215="","",IFERROR(INDEX(Denetimler!$E:$E,MATCH($A215,Denetimler!$A:$A,0)),"No yok"))</f>
        <v>Esas denetim</v>
      </c>
      <c r="K215" s="25" t="n">
        <f aca="false">IF($A215="","",IFERROR(INDEX(Denetimler!$B:$B,MATCH($A215,Denetimler!$A:$A,0)),"No yok"))</f>
        <v>46098</v>
      </c>
    </row>
    <row r="216" customFormat="false" ht="15" hidden="false" customHeight="false" outlineLevel="0" collapsed="false">
      <c r="A216" s="24" t="s">
        <v>197</v>
      </c>
      <c r="B216" s="24" t="s">
        <v>222</v>
      </c>
      <c r="C216" s="24" t="s">
        <v>206</v>
      </c>
      <c r="D216" s="19" t="str">
        <f aca="false">IF($B216="","",IFERROR(INDEX(Madde_Listesi!$C:$C,MATCH($B216,Madde_Listesi!$B:$B,0)),"Kod yok"))</f>
        <v>Çalışan takı ve kişisel hijyen kurallarına uyuyor</v>
      </c>
      <c r="E216" s="19" t="str">
        <f aca="false">IF($B216="","",IFERROR(INDEX(Madde_Listesi!$D:$D,MATCH($B216,Madde_Listesi!$B:$B,0)),"Kod yok"))</f>
        <v>Partner</v>
      </c>
      <c r="F216" s="19" t="str">
        <f aca="false">IF($B216="","",IFERROR(INDEX(Madde_Listesi!$E:$E,MATCH($B216,Madde_Listesi!$B:$B,0)),"Kod yok"))</f>
        <v>Major</v>
      </c>
      <c r="G216" s="19" t="str">
        <f aca="false">IF($B216="","",IFERROR(INDEX(Madde_Listesi!$F:$F,MATCH($B216,Madde_Listesi!$B:$B,0)),"Kod yok"))</f>
        <v>Kişisel hijyen</v>
      </c>
      <c r="H216" s="19" t="str">
        <f aca="false">IF($A216="","",IFERROR(INDEX(Denetimler!$C:$C,MATCH($A216,Denetimler!$A:$A,0)),"No yok"))</f>
        <v>Mağaza D</v>
      </c>
      <c r="I216" s="19" t="str">
        <f aca="false">IF($A216="","",IFERROR(INDEX(Denetimler!$D:$D,MATCH($A216,Denetimler!$A:$A,0)),"No yok"))</f>
        <v>RSA</v>
      </c>
      <c r="J216" s="19" t="str">
        <f aca="false">IF($A216="","",IFERROR(INDEX(Denetimler!$E:$E,MATCH($A216,Denetimler!$A:$A,0)),"No yok"))</f>
        <v>Esas denetim</v>
      </c>
      <c r="K216" s="25" t="n">
        <f aca="false">IF($A216="","",IFERROR(INDEX(Denetimler!$B:$B,MATCH($A216,Denetimler!$A:$A,0)),"No yok"))</f>
        <v>46251</v>
      </c>
    </row>
    <row r="217" customFormat="false" ht="15" hidden="false" customHeight="false" outlineLevel="0" collapsed="false">
      <c r="A217" s="24" t="s">
        <v>197</v>
      </c>
      <c r="B217" s="24" t="s">
        <v>223</v>
      </c>
      <c r="C217" s="24" t="s">
        <v>206</v>
      </c>
      <c r="D217" s="19" t="str">
        <f aca="false">IF($B217="","",IFERROR(INDEX(Madde_Listesi!$C:$C,MATCH($B217,Madde_Listesi!$B:$B,0)),"Kod yok"))</f>
        <v>Ürünlerin son kullanma tarihleri geçerli ve etiketli</v>
      </c>
      <c r="E217" s="19" t="str">
        <f aca="false">IF($B217="","",IFERROR(INDEX(Madde_Listesi!$D:$D,MATCH($B217,Madde_Listesi!$B:$B,0)),"Kod yok"))</f>
        <v>Bulaşma</v>
      </c>
      <c r="F217" s="19" t="str">
        <f aca="false">IF($B217="","",IFERROR(INDEX(Madde_Listesi!$E:$E,MATCH($B217,Madde_Listesi!$B:$B,0)),"Kod yok"))</f>
        <v>Kritik</v>
      </c>
      <c r="G217" s="19" t="str">
        <f aca="false">IF($B217="","",IFERROR(INDEX(Madde_Listesi!$F:$F,MATCH($B217,Madde_Listesi!$B:$B,0)),"Kod yok"))</f>
        <v>Ürün tarihleme ve etiketleme</v>
      </c>
      <c r="H217" s="19" t="str">
        <f aca="false">IF($A217="","",IFERROR(INDEX(Denetimler!$C:$C,MATCH($A217,Denetimler!$A:$A,0)),"No yok"))</f>
        <v>Mağaza D</v>
      </c>
      <c r="I217" s="19" t="str">
        <f aca="false">IF($A217="","",IFERROR(INDEX(Denetimler!$D:$D,MATCH($A217,Denetimler!$A:$A,0)),"No yok"))</f>
        <v>RSA</v>
      </c>
      <c r="J217" s="19" t="str">
        <f aca="false">IF($A217="","",IFERROR(INDEX(Denetimler!$E:$E,MATCH($A217,Denetimler!$A:$A,0)),"No yok"))</f>
        <v>Esas denetim</v>
      </c>
      <c r="K217" s="25" t="n">
        <f aca="false">IF($A217="","",IFERROR(INDEX(Denetimler!$B:$B,MATCH($A217,Denetimler!$A:$A,0)),"No yok"))</f>
        <v>46251</v>
      </c>
    </row>
    <row r="218" customFormat="false" ht="15" hidden="false" customHeight="false" outlineLevel="0" collapsed="false">
      <c r="A218" s="24" t="s">
        <v>183</v>
      </c>
      <c r="B218" s="24" t="s">
        <v>205</v>
      </c>
      <c r="C218" s="24" t="s">
        <v>206</v>
      </c>
      <c r="D218" s="19" t="str">
        <f aca="false">IF($B218="","",IFERROR(INDEX(Madde_Listesi!$C:$C,MATCH($B218,Madde_Listesi!$B:$B,0)),"Kod yok"))</f>
        <v>Stok sayımı ve sipariş kayıtları tutarlı</v>
      </c>
      <c r="E218" s="19" t="str">
        <f aca="false">IF($B218="","",IFERROR(INDEX(Madde_Listesi!$D:$D,MATCH($B218,Madde_Listesi!$B:$B,0)),"Kod yok"))</f>
        <v>Stok</v>
      </c>
      <c r="F218" s="19" t="str">
        <f aca="false">IF($B218="","",IFERROR(INDEX(Madde_Listesi!$E:$E,MATCH($B218,Madde_Listesi!$B:$B,0)),"Kod yok"))</f>
        <v>Major</v>
      </c>
      <c r="G218" s="19" t="str">
        <f aca="false">IF($B218="","",IFERROR(INDEX(Madde_Listesi!$F:$F,MATCH($B218,Madde_Listesi!$B:$B,0)),"Kod yok"))</f>
        <v>Stok ve sipariş yönetimi</v>
      </c>
      <c r="H218" s="19" t="str">
        <f aca="false">IF($A218="","",IFERROR(INDEX(Denetimler!$C:$C,MATCH($A218,Denetimler!$A:$A,0)),"No yok"))</f>
        <v>Mağaza E</v>
      </c>
      <c r="I218" s="19" t="str">
        <f aca="false">IF($A218="","",IFERROR(INDEX(Denetimler!$D:$D,MATCH($A218,Denetimler!$A:$A,0)),"No yok"))</f>
        <v>ASA</v>
      </c>
      <c r="J218" s="19" t="str">
        <f aca="false">IF($A218="","",IFERROR(INDEX(Denetimler!$E:$E,MATCH($A218,Denetimler!$A:$A,0)),"No yok"))</f>
        <v>Esas denetim</v>
      </c>
      <c r="K218" s="25" t="n">
        <f aca="false">IF($A218="","",IFERROR(INDEX(Denetimler!$B:$B,MATCH($A218,Denetimler!$A:$A,0)),"No yok"))</f>
        <v>46193</v>
      </c>
    </row>
    <row r="219" customFormat="false" ht="15" hidden="false" customHeight="false" outlineLevel="0" collapsed="false">
      <c r="A219" s="24" t="s">
        <v>183</v>
      </c>
      <c r="B219" s="24" t="s">
        <v>216</v>
      </c>
      <c r="C219" s="24" t="s">
        <v>206</v>
      </c>
      <c r="D219" s="19" t="str">
        <f aca="false">IF($B219="","",IFERROR(INDEX(Madde_Listesi!$C:$C,MATCH($B219,Madde_Listesi!$B:$B,0)),"Kod yok"))</f>
        <v>Kasa açılış-kapanış prosedürü uygulanıyor</v>
      </c>
      <c r="E219" s="19" t="str">
        <f aca="false">IF($B219="","",IFERROR(INDEX(Madde_Listesi!$D:$D,MATCH($B219,Madde_Listesi!$B:$B,0)),"Kod yok"))</f>
        <v>Operasyon</v>
      </c>
      <c r="F219" s="19" t="str">
        <f aca="false">IF($B219="","",IFERROR(INDEX(Madde_Listesi!$E:$E,MATCH($B219,Madde_Listesi!$B:$B,0)),"Kod yok"))</f>
        <v>Kritik</v>
      </c>
      <c r="G219" s="19" t="str">
        <f aca="false">IF($B219="","",IFERROR(INDEX(Madde_Listesi!$F:$F,MATCH($B219,Madde_Listesi!$B:$B,0)),"Kod yok"))</f>
        <v>Kasa prosedürleri</v>
      </c>
      <c r="H219" s="19" t="str">
        <f aca="false">IF($A219="","",IFERROR(INDEX(Denetimler!$C:$C,MATCH($A219,Denetimler!$A:$A,0)),"No yok"))</f>
        <v>Mağaza E</v>
      </c>
      <c r="I219" s="19" t="str">
        <f aca="false">IF($A219="","",IFERROR(INDEX(Denetimler!$D:$D,MATCH($A219,Denetimler!$A:$A,0)),"No yok"))</f>
        <v>ASA</v>
      </c>
      <c r="J219" s="19" t="str">
        <f aca="false">IF($A219="","",IFERROR(INDEX(Denetimler!$E:$E,MATCH($A219,Denetimler!$A:$A,0)),"No yok"))</f>
        <v>Esas denetim</v>
      </c>
      <c r="K219" s="25" t="n">
        <f aca="false">IF($A219="","",IFERROR(INDEX(Denetimler!$B:$B,MATCH($A219,Denetimler!$A:$A,0)),"No yok"))</f>
        <v>46193</v>
      </c>
    </row>
    <row r="220" customFormat="false" ht="15" hidden="false" customHeight="false" outlineLevel="0" collapsed="false">
      <c r="A220" s="24" t="s">
        <v>183</v>
      </c>
      <c r="B220" s="24" t="s">
        <v>205</v>
      </c>
      <c r="C220" s="24" t="s">
        <v>206</v>
      </c>
      <c r="D220" s="19" t="str">
        <f aca="false">IF($B220="","",IFERROR(INDEX(Madde_Listesi!$C:$C,MATCH($B220,Madde_Listesi!$B:$B,0)),"Kod yok"))</f>
        <v>Stok sayımı ve sipariş kayıtları tutarlı</v>
      </c>
      <c r="E220" s="19" t="str">
        <f aca="false">IF($B220="","",IFERROR(INDEX(Madde_Listesi!$D:$D,MATCH($B220,Madde_Listesi!$B:$B,0)),"Kod yok"))</f>
        <v>Stok</v>
      </c>
      <c r="F220" s="19" t="str">
        <f aca="false">IF($B220="","",IFERROR(INDEX(Madde_Listesi!$E:$E,MATCH($B220,Madde_Listesi!$B:$B,0)),"Kod yok"))</f>
        <v>Major</v>
      </c>
      <c r="G220" s="19" t="str">
        <f aca="false">IF($B220="","",IFERROR(INDEX(Madde_Listesi!$F:$F,MATCH($B220,Madde_Listesi!$B:$B,0)),"Kod yok"))</f>
        <v>Stok ve sipariş yönetimi</v>
      </c>
      <c r="H220" s="19" t="str">
        <f aca="false">IF($A220="","",IFERROR(INDEX(Denetimler!$C:$C,MATCH($A220,Denetimler!$A:$A,0)),"No yok"))</f>
        <v>Mağaza E</v>
      </c>
      <c r="I220" s="19" t="str">
        <f aca="false">IF($A220="","",IFERROR(INDEX(Denetimler!$D:$D,MATCH($A220,Denetimler!$A:$A,0)),"No yok"))</f>
        <v>ASA</v>
      </c>
      <c r="J220" s="19" t="str">
        <f aca="false">IF($A220="","",IFERROR(INDEX(Denetimler!$E:$E,MATCH($A220,Denetimler!$A:$A,0)),"No yok"))</f>
        <v>Esas denetim</v>
      </c>
      <c r="K220" s="25" t="n">
        <f aca="false">IF($A220="","",IFERROR(INDEX(Denetimler!$B:$B,MATCH($A220,Denetimler!$A:$A,0)),"No yok"))</f>
        <v>46193</v>
      </c>
    </row>
    <row r="221" customFormat="false" ht="15" hidden="false" customHeight="false" outlineLevel="0" collapsed="false">
      <c r="A221" s="24" t="s">
        <v>183</v>
      </c>
      <c r="B221" s="24" t="s">
        <v>207</v>
      </c>
      <c r="C221" s="24" t="s">
        <v>206</v>
      </c>
      <c r="D221" s="19" t="str">
        <f aca="false">IF($B221="","",IFERROR(INDEX(Madde_Listesi!$C:$C,MATCH($B221,Madde_Listesi!$B:$B,0)),"Kod yok"))</f>
        <v>Vardiya planı yoğunluğa uygun hazırlanmış</v>
      </c>
      <c r="E221" s="19" t="str">
        <f aca="false">IF($B221="","",IFERROR(INDEX(Madde_Listesi!$D:$D,MATCH($B221,Madde_Listesi!$B:$B,0)),"Kod yok"))</f>
        <v>Operasyon</v>
      </c>
      <c r="F221" s="19" t="str">
        <f aca="false">IF($B221="","",IFERROR(INDEX(Madde_Listesi!$E:$E,MATCH($B221,Madde_Listesi!$B:$B,0)),"Kod yok"))</f>
        <v>Major</v>
      </c>
      <c r="G221" s="19" t="str">
        <f aca="false">IF($B221="","",IFERROR(INDEX(Madde_Listesi!$F:$F,MATCH($B221,Madde_Listesi!$B:$B,0)),"Kod yok"))</f>
        <v>Vardiya planlama</v>
      </c>
      <c r="H221" s="19" t="str">
        <f aca="false">IF($A221="","",IFERROR(INDEX(Denetimler!$C:$C,MATCH($A221,Denetimler!$A:$A,0)),"No yok"))</f>
        <v>Mağaza E</v>
      </c>
      <c r="I221" s="19" t="str">
        <f aca="false">IF($A221="","",IFERROR(INDEX(Denetimler!$D:$D,MATCH($A221,Denetimler!$A:$A,0)),"No yok"))</f>
        <v>ASA</v>
      </c>
      <c r="J221" s="19" t="str">
        <f aca="false">IF($A221="","",IFERROR(INDEX(Denetimler!$E:$E,MATCH($A221,Denetimler!$A:$A,0)),"No yok"))</f>
        <v>Esas denetim</v>
      </c>
      <c r="K221" s="25" t="n">
        <f aca="false">IF($A221="","",IFERROR(INDEX(Denetimler!$B:$B,MATCH($A221,Denetimler!$A:$A,0)),"No yok"))</f>
        <v>46193</v>
      </c>
    </row>
    <row r="222" customFormat="false" ht="15" hidden="false" customHeight="false" outlineLevel="0" collapsed="false">
      <c r="A222" s="24" t="s">
        <v>177</v>
      </c>
      <c r="B222" s="24" t="s">
        <v>221</v>
      </c>
      <c r="C222" s="24" t="s">
        <v>206</v>
      </c>
      <c r="D222" s="19" t="str">
        <f aca="false">IF($B222="","",IFERROR(INDEX(Madde_Listesi!$C:$C,MATCH($B222,Madde_Listesi!$B:$B,0)),"Kod yok"))</f>
        <v>Kasa limitinin üzerindeki nakit zamanında kasaya aktarılıyor</v>
      </c>
      <c r="E222" s="19" t="str">
        <f aca="false">IF($B222="","",IFERROR(INDEX(Madde_Listesi!$D:$D,MATCH($B222,Madde_Listesi!$B:$B,0)),"Kod yok"))</f>
        <v>Nakit</v>
      </c>
      <c r="F222" s="19" t="str">
        <f aca="false">IF($B222="","",IFERROR(INDEX(Madde_Listesi!$E:$E,MATCH($B222,Madde_Listesi!$B:$B,0)),"Kod yok"))</f>
        <v>Major</v>
      </c>
      <c r="G222" s="19" t="str">
        <f aca="false">IF($B222="","",IFERROR(INDEX(Madde_Listesi!$F:$F,MATCH($B222,Madde_Listesi!$B:$B,0)),"Kod yok"))</f>
        <v>Kasa prosedürleri</v>
      </c>
      <c r="H222" s="19" t="str">
        <f aca="false">IF($A222="","",IFERROR(INDEX(Denetimler!$C:$C,MATCH($A222,Denetimler!$A:$A,0)),"No yok"))</f>
        <v>Mağaza E</v>
      </c>
      <c r="I222" s="19" t="str">
        <f aca="false">IF($A222="","",IFERROR(INDEX(Denetimler!$D:$D,MATCH($A222,Denetimler!$A:$A,0)),"No yok"))</f>
        <v>PAP</v>
      </c>
      <c r="J222" s="19" t="str">
        <f aca="false">IF($A222="","",IFERROR(INDEX(Denetimler!$E:$E,MATCH($A222,Denetimler!$A:$A,0)),"No yok"))</f>
        <v>Esas denetim</v>
      </c>
      <c r="K222" s="25" t="n">
        <f aca="false">IF($A222="","",IFERROR(INDEX(Denetimler!$B:$B,MATCH($A222,Denetimler!$A:$A,0)),"No yok"))</f>
        <v>46176</v>
      </c>
    </row>
    <row r="223" customFormat="false" ht="15" hidden="false" customHeight="false" outlineLevel="0" collapsed="false">
      <c r="A223" s="24" t="s">
        <v>177</v>
      </c>
      <c r="B223" s="24" t="s">
        <v>226</v>
      </c>
      <c r="C223" s="24" t="s">
        <v>206</v>
      </c>
      <c r="D223" s="19" t="str">
        <f aca="false">IF($B223="","",IFERROR(INDEX(Madde_Listesi!$C:$C,MATCH($B223,Madde_Listesi!$B:$B,0)),"Kod yok"))</f>
        <v>Kasa farkları kayıt altına alınmış ve açıklanmış</v>
      </c>
      <c r="E223" s="19" t="str">
        <f aca="false">IF($B223="","",IFERROR(INDEX(Madde_Listesi!$D:$D,MATCH($B223,Madde_Listesi!$B:$B,0)),"Kod yok"))</f>
        <v>Nakit</v>
      </c>
      <c r="F223" s="19" t="str">
        <f aca="false">IF($B223="","",IFERROR(INDEX(Madde_Listesi!$E:$E,MATCH($B223,Madde_Listesi!$B:$B,0)),"Kod yok"))</f>
        <v>Kritik</v>
      </c>
      <c r="G223" s="19" t="str">
        <f aca="false">IF($B223="","",IFERROR(INDEX(Madde_Listesi!$F:$F,MATCH($B223,Madde_Listesi!$B:$B,0)),"Kod yok"))</f>
        <v>Kasa prosedürleri</v>
      </c>
      <c r="H223" s="19" t="str">
        <f aca="false">IF($A223="","",IFERROR(INDEX(Denetimler!$C:$C,MATCH($A223,Denetimler!$A:$A,0)),"No yok"))</f>
        <v>Mağaza E</v>
      </c>
      <c r="I223" s="19" t="str">
        <f aca="false">IF($A223="","",IFERROR(INDEX(Denetimler!$D:$D,MATCH($A223,Denetimler!$A:$A,0)),"No yok"))</f>
        <v>PAP</v>
      </c>
      <c r="J223" s="19" t="str">
        <f aca="false">IF($A223="","",IFERROR(INDEX(Denetimler!$E:$E,MATCH($A223,Denetimler!$A:$A,0)),"No yok"))</f>
        <v>Esas denetim</v>
      </c>
      <c r="K223" s="25" t="n">
        <f aca="false">IF($A223="","",IFERROR(INDEX(Denetimler!$B:$B,MATCH($A223,Denetimler!$A:$A,0)),"No yok"))</f>
        <v>46176</v>
      </c>
    </row>
    <row r="224" customFormat="false" ht="15" hidden="false" customHeight="false" outlineLevel="0" collapsed="false">
      <c r="A224" s="24" t="s">
        <v>177</v>
      </c>
      <c r="B224" s="24" t="s">
        <v>226</v>
      </c>
      <c r="C224" s="24" t="s">
        <v>206</v>
      </c>
      <c r="D224" s="19" t="str">
        <f aca="false">IF($B224="","",IFERROR(INDEX(Madde_Listesi!$C:$C,MATCH($B224,Madde_Listesi!$B:$B,0)),"Kod yok"))</f>
        <v>Kasa farkları kayıt altına alınmış ve açıklanmış</v>
      </c>
      <c r="E224" s="19" t="str">
        <f aca="false">IF($B224="","",IFERROR(INDEX(Madde_Listesi!$D:$D,MATCH($B224,Madde_Listesi!$B:$B,0)),"Kod yok"))</f>
        <v>Nakit</v>
      </c>
      <c r="F224" s="19" t="str">
        <f aca="false">IF($B224="","",IFERROR(INDEX(Madde_Listesi!$E:$E,MATCH($B224,Madde_Listesi!$B:$B,0)),"Kod yok"))</f>
        <v>Kritik</v>
      </c>
      <c r="G224" s="19" t="str">
        <f aca="false">IF($B224="","",IFERROR(INDEX(Madde_Listesi!$F:$F,MATCH($B224,Madde_Listesi!$B:$B,0)),"Kod yok"))</f>
        <v>Kasa prosedürleri</v>
      </c>
      <c r="H224" s="19" t="str">
        <f aca="false">IF($A224="","",IFERROR(INDEX(Denetimler!$C:$C,MATCH($A224,Denetimler!$A:$A,0)),"No yok"))</f>
        <v>Mağaza E</v>
      </c>
      <c r="I224" s="19" t="str">
        <f aca="false">IF($A224="","",IFERROR(INDEX(Denetimler!$D:$D,MATCH($A224,Denetimler!$A:$A,0)),"No yok"))</f>
        <v>PAP</v>
      </c>
      <c r="J224" s="19" t="str">
        <f aca="false">IF($A224="","",IFERROR(INDEX(Denetimler!$E:$E,MATCH($A224,Denetimler!$A:$A,0)),"No yok"))</f>
        <v>Esas denetim</v>
      </c>
      <c r="K224" s="25" t="n">
        <f aca="false">IF($A224="","",IFERROR(INDEX(Denetimler!$B:$B,MATCH($A224,Denetimler!$A:$A,0)),"No yok"))</f>
        <v>46176</v>
      </c>
    </row>
    <row r="225" customFormat="false" ht="15" hidden="false" customHeight="false" outlineLevel="0" collapsed="false">
      <c r="A225" s="24" t="s">
        <v>177</v>
      </c>
      <c r="B225" s="24" t="s">
        <v>217</v>
      </c>
      <c r="C225" s="24" t="s">
        <v>206</v>
      </c>
      <c r="D225" s="19" t="str">
        <f aca="false">IF($B225="","",IFERROR(INDEX(Madde_Listesi!$C:$C,MATCH($B225,Madde_Listesi!$B:$B,0)),"Kod yok"))</f>
        <v>Kamera kayıtları erişilebilir ve süresi uygun</v>
      </c>
      <c r="E225" s="19" t="str">
        <f aca="false">IF($B225="","",IFERROR(INDEX(Madde_Listesi!$D:$D,MATCH($B225,Madde_Listesi!$B:$B,0)),"Kod yok"))</f>
        <v>Güvenlik</v>
      </c>
      <c r="F225" s="19" t="str">
        <f aca="false">IF($B225="","",IFERROR(INDEX(Madde_Listesi!$E:$E,MATCH($B225,Madde_Listesi!$B:$B,0)),"Kod yok"))</f>
        <v>Minör</v>
      </c>
      <c r="G225" s="19" t="str">
        <f aca="false">IF($B225="","",IFERROR(INDEX(Madde_Listesi!$F:$F,MATCH($B225,Madde_Listesi!$B:$B,0)),"Kod yok"))</f>
        <v>Mağaza güvenliği</v>
      </c>
      <c r="H225" s="19" t="str">
        <f aca="false">IF($A225="","",IFERROR(INDEX(Denetimler!$C:$C,MATCH($A225,Denetimler!$A:$A,0)),"No yok"))</f>
        <v>Mağaza E</v>
      </c>
      <c r="I225" s="19" t="str">
        <f aca="false">IF($A225="","",IFERROR(INDEX(Denetimler!$D:$D,MATCH($A225,Denetimler!$A:$A,0)),"No yok"))</f>
        <v>PAP</v>
      </c>
      <c r="J225" s="19" t="str">
        <f aca="false">IF($A225="","",IFERROR(INDEX(Denetimler!$E:$E,MATCH($A225,Denetimler!$A:$A,0)),"No yok"))</f>
        <v>Esas denetim</v>
      </c>
      <c r="K225" s="25" t="n">
        <f aca="false">IF($A225="","",IFERROR(INDEX(Denetimler!$B:$B,MATCH($A225,Denetimler!$A:$A,0)),"No yok"))</f>
        <v>46176</v>
      </c>
    </row>
    <row r="226" customFormat="false" ht="15" hidden="false" customHeight="false" outlineLevel="0" collapsed="false">
      <c r="A226" s="24" t="s">
        <v>180</v>
      </c>
      <c r="B226" s="24" t="s">
        <v>214</v>
      </c>
      <c r="C226" s="24" t="s">
        <v>206</v>
      </c>
      <c r="D226" s="19" t="str">
        <f aca="false">IF($B226="","",IFERROR(INDEX(Madde_Listesi!$C:$C,MATCH($B226,Madde_Listesi!$B:$B,0)),"Kod yok"))</f>
        <v>Sıcaklık kayıtları tam ve zamanında tutulmuş</v>
      </c>
      <c r="E226" s="19" t="str">
        <f aca="false">IF($B226="","",IFERROR(INDEX(Madde_Listesi!$D:$D,MATCH($B226,Madde_Listesi!$B:$B,0)),"Kod yok"))</f>
        <v>Sıcaklık</v>
      </c>
      <c r="F226" s="19" t="str">
        <f aca="false">IF($B226="","",IFERROR(INDEX(Madde_Listesi!$E:$E,MATCH($B226,Madde_Listesi!$B:$B,0)),"Kod yok"))</f>
        <v>Major</v>
      </c>
      <c r="G226" s="19" t="str">
        <f aca="false">IF($B226="","",IFERROR(INDEX(Madde_Listesi!$F:$F,MATCH($B226,Madde_Listesi!$B:$B,0)),"Kod yok"))</f>
        <v>Soğuk zincir ve sıcaklık kontrolü</v>
      </c>
      <c r="H226" s="19" t="str">
        <f aca="false">IF($A226="","",IFERROR(INDEX(Denetimler!$C:$C,MATCH($A226,Denetimler!$A:$A,0)),"No yok"))</f>
        <v>Mağaza E</v>
      </c>
      <c r="I226" s="19" t="str">
        <f aca="false">IF($A226="","",IFERROR(INDEX(Denetimler!$D:$D,MATCH($A226,Denetimler!$A:$A,0)),"No yok"))</f>
        <v>RSA</v>
      </c>
      <c r="J226" s="19" t="str">
        <f aca="false">IF($A226="","",IFERROR(INDEX(Denetimler!$E:$E,MATCH($A226,Denetimler!$A:$A,0)),"No yok"))</f>
        <v>Esas denetim</v>
      </c>
      <c r="K226" s="25" t="n">
        <f aca="false">IF($A226="","",IFERROR(INDEX(Denetimler!$B:$B,MATCH($A226,Denetimler!$A:$A,0)),"No yok"))</f>
        <v>46183</v>
      </c>
    </row>
    <row r="227" customFormat="false" ht="15" hidden="false" customHeight="false" outlineLevel="0" collapsed="false">
      <c r="A227" s="24" t="s">
        <v>180</v>
      </c>
      <c r="B227" s="24" t="s">
        <v>222</v>
      </c>
      <c r="C227" s="24" t="s">
        <v>206</v>
      </c>
      <c r="D227" s="19" t="str">
        <f aca="false">IF($B227="","",IFERROR(INDEX(Madde_Listesi!$C:$C,MATCH($B227,Madde_Listesi!$B:$B,0)),"Kod yok"))</f>
        <v>Çalışan takı ve kişisel hijyen kurallarına uyuyor</v>
      </c>
      <c r="E227" s="19" t="str">
        <f aca="false">IF($B227="","",IFERROR(INDEX(Madde_Listesi!$D:$D,MATCH($B227,Madde_Listesi!$B:$B,0)),"Kod yok"))</f>
        <v>Partner</v>
      </c>
      <c r="F227" s="19" t="str">
        <f aca="false">IF($B227="","",IFERROR(INDEX(Madde_Listesi!$E:$E,MATCH($B227,Madde_Listesi!$B:$B,0)),"Kod yok"))</f>
        <v>Major</v>
      </c>
      <c r="G227" s="19" t="str">
        <f aca="false">IF($B227="","",IFERROR(INDEX(Madde_Listesi!$F:$F,MATCH($B227,Madde_Listesi!$B:$B,0)),"Kod yok"))</f>
        <v>Kişisel hijyen</v>
      </c>
      <c r="H227" s="19" t="str">
        <f aca="false">IF($A227="","",IFERROR(INDEX(Denetimler!$C:$C,MATCH($A227,Denetimler!$A:$A,0)),"No yok"))</f>
        <v>Mağaza E</v>
      </c>
      <c r="I227" s="19" t="str">
        <f aca="false">IF($A227="","",IFERROR(INDEX(Denetimler!$D:$D,MATCH($A227,Denetimler!$A:$A,0)),"No yok"))</f>
        <v>RSA</v>
      </c>
      <c r="J227" s="19" t="str">
        <f aca="false">IF($A227="","",IFERROR(INDEX(Denetimler!$E:$E,MATCH($A227,Denetimler!$A:$A,0)),"No yok"))</f>
        <v>Esas denetim</v>
      </c>
      <c r="K227" s="25" t="n">
        <f aca="false">IF($A227="","",IFERROR(INDEX(Denetimler!$B:$B,MATCH($A227,Denetimler!$A:$A,0)),"No yok"))</f>
        <v>46183</v>
      </c>
    </row>
    <row r="228" customFormat="false" ht="15" hidden="false" customHeight="false" outlineLevel="0" collapsed="false">
      <c r="A228" s="24" t="s">
        <v>180</v>
      </c>
      <c r="B228" s="24" t="s">
        <v>210</v>
      </c>
      <c r="C228" s="24" t="s">
        <v>206</v>
      </c>
      <c r="D228" s="19" t="str">
        <f aca="false">IF($B228="","",IFERROR(INDEX(Madde_Listesi!$C:$C,MATCH($B228,Madde_Listesi!$B:$B,0)),"Kod yok"))</f>
        <v>Kimyasallar etiketli ve gıdadan ayrı saklanıyor</v>
      </c>
      <c r="E228" s="19" t="str">
        <f aca="false">IF($B228="","",IFERROR(INDEX(Madde_Listesi!$D:$D,MATCH($B228,Madde_Listesi!$B:$B,0)),"Kod yok"))</f>
        <v>Bulaşma</v>
      </c>
      <c r="F228" s="19" t="str">
        <f aca="false">IF($B228="","",IFERROR(INDEX(Madde_Listesi!$E:$E,MATCH($B228,Madde_Listesi!$B:$B,0)),"Kod yok"))</f>
        <v>Major</v>
      </c>
      <c r="G228" s="19" t="str">
        <f aca="false">IF($B228="","",IFERROR(INDEX(Madde_Listesi!$F:$F,MATCH($B228,Madde_Listesi!$B:$B,0)),"Kod yok"))</f>
        <v>Kimyasal güvenliği</v>
      </c>
      <c r="H228" s="19" t="str">
        <f aca="false">IF($A228="","",IFERROR(INDEX(Denetimler!$C:$C,MATCH($A228,Denetimler!$A:$A,0)),"No yok"))</f>
        <v>Mağaza E</v>
      </c>
      <c r="I228" s="19" t="str">
        <f aca="false">IF($A228="","",IFERROR(INDEX(Denetimler!$D:$D,MATCH($A228,Denetimler!$A:$A,0)),"No yok"))</f>
        <v>RSA</v>
      </c>
      <c r="J228" s="19" t="str">
        <f aca="false">IF($A228="","",IFERROR(INDEX(Denetimler!$E:$E,MATCH($A228,Denetimler!$A:$A,0)),"No yok"))</f>
        <v>Esas denetim</v>
      </c>
      <c r="K228" s="25" t="n">
        <f aca="false">IF($A228="","",IFERROR(INDEX(Denetimler!$B:$B,MATCH($A228,Denetimler!$A:$A,0)),"No yok"))</f>
        <v>46183</v>
      </c>
    </row>
    <row r="229" customFormat="false" ht="15" hidden="false" customHeight="false" outlineLevel="0" collapsed="false">
      <c r="A229" s="24" t="s">
        <v>180</v>
      </c>
      <c r="B229" s="24" t="s">
        <v>212</v>
      </c>
      <c r="C229" s="24" t="s">
        <v>206</v>
      </c>
      <c r="D229" s="19" t="str">
        <f aca="false">IF($B229="","",IFERROR(INDEX(Madde_Listesi!$C:$C,MATCH($B229,Madde_Listesi!$B:$B,0)),"Kod yok"))</f>
        <v>Gıdayla temas eden yüzeyler temiz ve dezenfekte</v>
      </c>
      <c r="E229" s="19" t="str">
        <f aca="false">IF($B229="","",IFERROR(INDEX(Madde_Listesi!$D:$D,MATCH($B229,Madde_Listesi!$B:$B,0)),"Kod yok"))</f>
        <v>Bulaşma</v>
      </c>
      <c r="F229" s="19" t="str">
        <f aca="false">IF($B229="","",IFERROR(INDEX(Madde_Listesi!$E:$E,MATCH($B229,Madde_Listesi!$B:$B,0)),"Kod yok"))</f>
        <v>Major</v>
      </c>
      <c r="G229" s="19" t="str">
        <f aca="false">IF($B229="","",IFERROR(INDEX(Madde_Listesi!$F:$F,MATCH($B229,Madde_Listesi!$B:$B,0)),"Kod yok"))</f>
        <v>Temizlik ve dezenfeksiyon</v>
      </c>
      <c r="H229" s="19" t="str">
        <f aca="false">IF($A229="","",IFERROR(INDEX(Denetimler!$C:$C,MATCH($A229,Denetimler!$A:$A,0)),"No yok"))</f>
        <v>Mağaza E</v>
      </c>
      <c r="I229" s="19" t="str">
        <f aca="false">IF($A229="","",IFERROR(INDEX(Denetimler!$D:$D,MATCH($A229,Denetimler!$A:$A,0)),"No yok"))</f>
        <v>RSA</v>
      </c>
      <c r="J229" s="19" t="str">
        <f aca="false">IF($A229="","",IFERROR(INDEX(Denetimler!$E:$E,MATCH($A229,Denetimler!$A:$A,0)),"No yok"))</f>
        <v>Esas denetim</v>
      </c>
      <c r="K229" s="25" t="n">
        <f aca="false">IF($A229="","",IFERROR(INDEX(Denetimler!$B:$B,MATCH($A229,Denetimler!$A:$A,0)),"No yok"))</f>
        <v>46183</v>
      </c>
    </row>
    <row r="230" customFormat="false" ht="15" hidden="false" customHeight="false" outlineLevel="0" collapsed="false">
      <c r="A230" s="24" t="s">
        <v>180</v>
      </c>
      <c r="B230" s="24" t="s">
        <v>223</v>
      </c>
      <c r="C230" s="24" t="s">
        <v>206</v>
      </c>
      <c r="D230" s="19" t="str">
        <f aca="false">IF($B230="","",IFERROR(INDEX(Madde_Listesi!$C:$C,MATCH($B230,Madde_Listesi!$B:$B,0)),"Kod yok"))</f>
        <v>Ürünlerin son kullanma tarihleri geçerli ve etiketli</v>
      </c>
      <c r="E230" s="19" t="str">
        <f aca="false">IF($B230="","",IFERROR(INDEX(Madde_Listesi!$D:$D,MATCH($B230,Madde_Listesi!$B:$B,0)),"Kod yok"))</f>
        <v>Bulaşma</v>
      </c>
      <c r="F230" s="19" t="str">
        <f aca="false">IF($B230="","",IFERROR(INDEX(Madde_Listesi!$E:$E,MATCH($B230,Madde_Listesi!$B:$B,0)),"Kod yok"))</f>
        <v>Kritik</v>
      </c>
      <c r="G230" s="19" t="str">
        <f aca="false">IF($B230="","",IFERROR(INDEX(Madde_Listesi!$F:$F,MATCH($B230,Madde_Listesi!$B:$B,0)),"Kod yok"))</f>
        <v>Ürün tarihleme ve etiketleme</v>
      </c>
      <c r="H230" s="19" t="str">
        <f aca="false">IF($A230="","",IFERROR(INDEX(Denetimler!$C:$C,MATCH($A230,Denetimler!$A:$A,0)),"No yok"))</f>
        <v>Mağaza E</v>
      </c>
      <c r="I230" s="19" t="str">
        <f aca="false">IF($A230="","",IFERROR(INDEX(Denetimler!$D:$D,MATCH($A230,Denetimler!$A:$A,0)),"No yok"))</f>
        <v>RSA</v>
      </c>
      <c r="J230" s="19" t="str">
        <f aca="false">IF($A230="","",IFERROR(INDEX(Denetimler!$E:$E,MATCH($A230,Denetimler!$A:$A,0)),"No yok"))</f>
        <v>Esas denetim</v>
      </c>
      <c r="K230" s="25" t="n">
        <f aca="false">IF($A230="","",IFERROR(INDEX(Denetimler!$B:$B,MATCH($A230,Denetimler!$A:$A,0)),"No yok"))</f>
        <v>46183</v>
      </c>
    </row>
    <row r="231" customFormat="false" ht="15" hidden="false" customHeight="false" outlineLevel="0" collapsed="false">
      <c r="A231" s="24" t="s">
        <v>160</v>
      </c>
      <c r="B231" s="24" t="s">
        <v>220</v>
      </c>
      <c r="C231" s="24" t="s">
        <v>206</v>
      </c>
      <c r="D231" s="19" t="str">
        <f aca="false">IF($B231="","",IFERROR(INDEX(Madde_Listesi!$C:$C,MATCH($B231,Madde_Listesi!$B:$B,0)),"Kod yok"))</f>
        <v>Zorunlu eğitimler tamamlanmış</v>
      </c>
      <c r="E231" s="19" t="str">
        <f aca="false">IF($B231="","",IFERROR(INDEX(Madde_Listesi!$D:$D,MATCH($B231,Madde_Listesi!$B:$B,0)),"Kod yok"))</f>
        <v>Ekip</v>
      </c>
      <c r="F231" s="19" t="str">
        <f aca="false">IF($B231="","",IFERROR(INDEX(Madde_Listesi!$E:$E,MATCH($B231,Madde_Listesi!$B:$B,0)),"Kod yok"))</f>
        <v>Major</v>
      </c>
      <c r="G231" s="19" t="str">
        <f aca="false">IF($B231="","",IFERROR(INDEX(Madde_Listesi!$F:$F,MATCH($B231,Madde_Listesi!$B:$B,0)),"Kod yok"))</f>
        <v>Eğitim takibi</v>
      </c>
      <c r="H231" s="19" t="str">
        <f aca="false">IF($A231="","",IFERROR(INDEX(Denetimler!$C:$C,MATCH($A231,Denetimler!$A:$A,0)),"No yok"))</f>
        <v>Mağaza F</v>
      </c>
      <c r="I231" s="19" t="str">
        <f aca="false">IF($A231="","",IFERROR(INDEX(Denetimler!$D:$D,MATCH($A231,Denetimler!$A:$A,0)),"No yok"))</f>
        <v>ASA</v>
      </c>
      <c r="J231" s="19" t="str">
        <f aca="false">IF($A231="","",IFERROR(INDEX(Denetimler!$E:$E,MATCH($A231,Denetimler!$A:$A,0)),"No yok"))</f>
        <v>Esas denetim</v>
      </c>
      <c r="K231" s="25" t="n">
        <f aca="false">IF($A231="","",IFERROR(INDEX(Denetimler!$B:$B,MATCH($A231,Denetimler!$A:$A,0)),"No yok"))</f>
        <v>46146</v>
      </c>
    </row>
    <row r="232" customFormat="false" ht="15" hidden="false" customHeight="false" outlineLevel="0" collapsed="false">
      <c r="A232" s="24" t="s">
        <v>160</v>
      </c>
      <c r="B232" s="24" t="s">
        <v>220</v>
      </c>
      <c r="C232" s="24" t="s">
        <v>206</v>
      </c>
      <c r="D232" s="19" t="str">
        <f aca="false">IF($B232="","",IFERROR(INDEX(Madde_Listesi!$C:$C,MATCH($B232,Madde_Listesi!$B:$B,0)),"Kod yok"))</f>
        <v>Zorunlu eğitimler tamamlanmış</v>
      </c>
      <c r="E232" s="19" t="str">
        <f aca="false">IF($B232="","",IFERROR(INDEX(Madde_Listesi!$D:$D,MATCH($B232,Madde_Listesi!$B:$B,0)),"Kod yok"))</f>
        <v>Ekip</v>
      </c>
      <c r="F232" s="19" t="str">
        <f aca="false">IF($B232="","",IFERROR(INDEX(Madde_Listesi!$E:$E,MATCH($B232,Madde_Listesi!$B:$B,0)),"Kod yok"))</f>
        <v>Major</v>
      </c>
      <c r="G232" s="19" t="str">
        <f aca="false">IF($B232="","",IFERROR(INDEX(Madde_Listesi!$F:$F,MATCH($B232,Madde_Listesi!$B:$B,0)),"Kod yok"))</f>
        <v>Eğitim takibi</v>
      </c>
      <c r="H232" s="19" t="str">
        <f aca="false">IF($A232="","",IFERROR(INDEX(Denetimler!$C:$C,MATCH($A232,Denetimler!$A:$A,0)),"No yok"))</f>
        <v>Mağaza F</v>
      </c>
      <c r="I232" s="19" t="str">
        <f aca="false">IF($A232="","",IFERROR(INDEX(Denetimler!$D:$D,MATCH($A232,Denetimler!$A:$A,0)),"No yok"))</f>
        <v>ASA</v>
      </c>
      <c r="J232" s="19" t="str">
        <f aca="false">IF($A232="","",IFERROR(INDEX(Denetimler!$E:$E,MATCH($A232,Denetimler!$A:$A,0)),"No yok"))</f>
        <v>Esas denetim</v>
      </c>
      <c r="K232" s="25" t="n">
        <f aca="false">IF($A232="","",IFERROR(INDEX(Denetimler!$B:$B,MATCH($A232,Denetimler!$A:$A,0)),"No yok"))</f>
        <v>46146</v>
      </c>
    </row>
    <row r="233" customFormat="false" ht="15" hidden="false" customHeight="false" outlineLevel="0" collapsed="false">
      <c r="A233" s="24" t="s">
        <v>160</v>
      </c>
      <c r="B233" s="24" t="s">
        <v>220</v>
      </c>
      <c r="C233" s="24" t="s">
        <v>206</v>
      </c>
      <c r="D233" s="19" t="str">
        <f aca="false">IF($B233="","",IFERROR(INDEX(Madde_Listesi!$C:$C,MATCH($B233,Madde_Listesi!$B:$B,0)),"Kod yok"))</f>
        <v>Zorunlu eğitimler tamamlanmış</v>
      </c>
      <c r="E233" s="19" t="str">
        <f aca="false">IF($B233="","",IFERROR(INDEX(Madde_Listesi!$D:$D,MATCH($B233,Madde_Listesi!$B:$B,0)),"Kod yok"))</f>
        <v>Ekip</v>
      </c>
      <c r="F233" s="19" t="str">
        <f aca="false">IF($B233="","",IFERROR(INDEX(Madde_Listesi!$E:$E,MATCH($B233,Madde_Listesi!$B:$B,0)),"Kod yok"))</f>
        <v>Major</v>
      </c>
      <c r="G233" s="19" t="str">
        <f aca="false">IF($B233="","",IFERROR(INDEX(Madde_Listesi!$F:$F,MATCH($B233,Madde_Listesi!$B:$B,0)),"Kod yok"))</f>
        <v>Eğitim takibi</v>
      </c>
      <c r="H233" s="19" t="str">
        <f aca="false">IF($A233="","",IFERROR(INDEX(Denetimler!$C:$C,MATCH($A233,Denetimler!$A:$A,0)),"No yok"))</f>
        <v>Mağaza F</v>
      </c>
      <c r="I233" s="19" t="str">
        <f aca="false">IF($A233="","",IFERROR(INDEX(Denetimler!$D:$D,MATCH($A233,Denetimler!$A:$A,0)),"No yok"))</f>
        <v>ASA</v>
      </c>
      <c r="J233" s="19" t="str">
        <f aca="false">IF($A233="","",IFERROR(INDEX(Denetimler!$E:$E,MATCH($A233,Denetimler!$A:$A,0)),"No yok"))</f>
        <v>Esas denetim</v>
      </c>
      <c r="K233" s="25" t="n">
        <f aca="false">IF($A233="","",IFERROR(INDEX(Denetimler!$B:$B,MATCH($A233,Denetimler!$A:$A,0)),"No yok"))</f>
        <v>46146</v>
      </c>
    </row>
    <row r="234" customFormat="false" ht="15" hidden="false" customHeight="false" outlineLevel="0" collapsed="false">
      <c r="A234" s="24" t="s">
        <v>160</v>
      </c>
      <c r="B234" s="24" t="s">
        <v>207</v>
      </c>
      <c r="C234" s="24" t="s">
        <v>206</v>
      </c>
      <c r="D234" s="19" t="str">
        <f aca="false">IF($B234="","",IFERROR(INDEX(Madde_Listesi!$C:$C,MATCH($B234,Madde_Listesi!$B:$B,0)),"Kod yok"))</f>
        <v>Vardiya planı yoğunluğa uygun hazırlanmış</v>
      </c>
      <c r="E234" s="19" t="str">
        <f aca="false">IF($B234="","",IFERROR(INDEX(Madde_Listesi!$D:$D,MATCH($B234,Madde_Listesi!$B:$B,0)),"Kod yok"))</f>
        <v>Operasyon</v>
      </c>
      <c r="F234" s="19" t="str">
        <f aca="false">IF($B234="","",IFERROR(INDEX(Madde_Listesi!$E:$E,MATCH($B234,Madde_Listesi!$B:$B,0)),"Kod yok"))</f>
        <v>Major</v>
      </c>
      <c r="G234" s="19" t="str">
        <f aca="false">IF($B234="","",IFERROR(INDEX(Madde_Listesi!$F:$F,MATCH($B234,Madde_Listesi!$B:$B,0)),"Kod yok"))</f>
        <v>Vardiya planlama</v>
      </c>
      <c r="H234" s="19" t="str">
        <f aca="false">IF($A234="","",IFERROR(INDEX(Denetimler!$C:$C,MATCH($A234,Denetimler!$A:$A,0)),"No yok"))</f>
        <v>Mağaza F</v>
      </c>
      <c r="I234" s="19" t="str">
        <f aca="false">IF($A234="","",IFERROR(INDEX(Denetimler!$D:$D,MATCH($A234,Denetimler!$A:$A,0)),"No yok"))</f>
        <v>ASA</v>
      </c>
      <c r="J234" s="19" t="str">
        <f aca="false">IF($A234="","",IFERROR(INDEX(Denetimler!$E:$E,MATCH($A234,Denetimler!$A:$A,0)),"No yok"))</f>
        <v>Esas denetim</v>
      </c>
      <c r="K234" s="25" t="n">
        <f aca="false">IF($A234="","",IFERROR(INDEX(Denetimler!$B:$B,MATCH($A234,Denetimler!$A:$A,0)),"No yok"))</f>
        <v>46146</v>
      </c>
    </row>
    <row r="235" customFormat="false" ht="15" hidden="false" customHeight="false" outlineLevel="0" collapsed="false">
      <c r="A235" s="24" t="s">
        <v>160</v>
      </c>
      <c r="B235" s="24" t="s">
        <v>205</v>
      </c>
      <c r="C235" s="24" t="s">
        <v>206</v>
      </c>
      <c r="D235" s="19" t="str">
        <f aca="false">IF($B235="","",IFERROR(INDEX(Madde_Listesi!$C:$C,MATCH($B235,Madde_Listesi!$B:$B,0)),"Kod yok"))</f>
        <v>Stok sayımı ve sipariş kayıtları tutarlı</v>
      </c>
      <c r="E235" s="19" t="str">
        <f aca="false">IF($B235="","",IFERROR(INDEX(Madde_Listesi!$D:$D,MATCH($B235,Madde_Listesi!$B:$B,0)),"Kod yok"))</f>
        <v>Stok</v>
      </c>
      <c r="F235" s="19" t="str">
        <f aca="false">IF($B235="","",IFERROR(INDEX(Madde_Listesi!$E:$E,MATCH($B235,Madde_Listesi!$B:$B,0)),"Kod yok"))</f>
        <v>Major</v>
      </c>
      <c r="G235" s="19" t="str">
        <f aca="false">IF($B235="","",IFERROR(INDEX(Madde_Listesi!$F:$F,MATCH($B235,Madde_Listesi!$B:$B,0)),"Kod yok"))</f>
        <v>Stok ve sipariş yönetimi</v>
      </c>
      <c r="H235" s="19" t="str">
        <f aca="false">IF($A235="","",IFERROR(INDEX(Denetimler!$C:$C,MATCH($A235,Denetimler!$A:$A,0)),"No yok"))</f>
        <v>Mağaza F</v>
      </c>
      <c r="I235" s="19" t="str">
        <f aca="false">IF($A235="","",IFERROR(INDEX(Denetimler!$D:$D,MATCH($A235,Denetimler!$A:$A,0)),"No yok"))</f>
        <v>ASA</v>
      </c>
      <c r="J235" s="19" t="str">
        <f aca="false">IF($A235="","",IFERROR(INDEX(Denetimler!$E:$E,MATCH($A235,Denetimler!$A:$A,0)),"No yok"))</f>
        <v>Esas denetim</v>
      </c>
      <c r="K235" s="25" t="n">
        <f aca="false">IF($A235="","",IFERROR(INDEX(Denetimler!$B:$B,MATCH($A235,Denetimler!$A:$A,0)),"No yok"))</f>
        <v>46146</v>
      </c>
    </row>
    <row r="236" customFormat="false" ht="15" hidden="false" customHeight="false" outlineLevel="0" collapsed="false">
      <c r="A236" s="24" t="s">
        <v>160</v>
      </c>
      <c r="B236" s="24" t="s">
        <v>216</v>
      </c>
      <c r="C236" s="24" t="s">
        <v>206</v>
      </c>
      <c r="D236" s="19" t="str">
        <f aca="false">IF($B236="","",IFERROR(INDEX(Madde_Listesi!$C:$C,MATCH($B236,Madde_Listesi!$B:$B,0)),"Kod yok"))</f>
        <v>Kasa açılış-kapanış prosedürü uygulanıyor</v>
      </c>
      <c r="E236" s="19" t="str">
        <f aca="false">IF($B236="","",IFERROR(INDEX(Madde_Listesi!$D:$D,MATCH($B236,Madde_Listesi!$B:$B,0)),"Kod yok"))</f>
        <v>Operasyon</v>
      </c>
      <c r="F236" s="19" t="str">
        <f aca="false">IF($B236="","",IFERROR(INDEX(Madde_Listesi!$E:$E,MATCH($B236,Madde_Listesi!$B:$B,0)),"Kod yok"))</f>
        <v>Kritik</v>
      </c>
      <c r="G236" s="19" t="str">
        <f aca="false">IF($B236="","",IFERROR(INDEX(Madde_Listesi!$F:$F,MATCH($B236,Madde_Listesi!$B:$B,0)),"Kod yok"))</f>
        <v>Kasa prosedürleri</v>
      </c>
      <c r="H236" s="19" t="str">
        <f aca="false">IF($A236="","",IFERROR(INDEX(Denetimler!$C:$C,MATCH($A236,Denetimler!$A:$A,0)),"No yok"))</f>
        <v>Mağaza F</v>
      </c>
      <c r="I236" s="19" t="str">
        <f aca="false">IF($A236="","",IFERROR(INDEX(Denetimler!$D:$D,MATCH($A236,Denetimler!$A:$A,0)),"No yok"))</f>
        <v>ASA</v>
      </c>
      <c r="J236" s="19" t="str">
        <f aca="false">IF($A236="","",IFERROR(INDEX(Denetimler!$E:$E,MATCH($A236,Denetimler!$A:$A,0)),"No yok"))</f>
        <v>Esas denetim</v>
      </c>
      <c r="K236" s="25" t="n">
        <f aca="false">IF($A236="","",IFERROR(INDEX(Denetimler!$B:$B,MATCH($A236,Denetimler!$A:$A,0)),"No yok"))</f>
        <v>46146</v>
      </c>
    </row>
    <row r="237" customFormat="false" ht="15" hidden="false" customHeight="false" outlineLevel="0" collapsed="false">
      <c r="A237" s="24" t="s">
        <v>160</v>
      </c>
      <c r="B237" s="24" t="s">
        <v>205</v>
      </c>
      <c r="C237" s="24" t="s">
        <v>206</v>
      </c>
      <c r="D237" s="19" t="str">
        <f aca="false">IF($B237="","",IFERROR(INDEX(Madde_Listesi!$C:$C,MATCH($B237,Madde_Listesi!$B:$B,0)),"Kod yok"))</f>
        <v>Stok sayımı ve sipariş kayıtları tutarlı</v>
      </c>
      <c r="E237" s="19" t="str">
        <f aca="false">IF($B237="","",IFERROR(INDEX(Madde_Listesi!$D:$D,MATCH($B237,Madde_Listesi!$B:$B,0)),"Kod yok"))</f>
        <v>Stok</v>
      </c>
      <c r="F237" s="19" t="str">
        <f aca="false">IF($B237="","",IFERROR(INDEX(Madde_Listesi!$E:$E,MATCH($B237,Madde_Listesi!$B:$B,0)),"Kod yok"))</f>
        <v>Major</v>
      </c>
      <c r="G237" s="19" t="str">
        <f aca="false">IF($B237="","",IFERROR(INDEX(Madde_Listesi!$F:$F,MATCH($B237,Madde_Listesi!$B:$B,0)),"Kod yok"))</f>
        <v>Stok ve sipariş yönetimi</v>
      </c>
      <c r="H237" s="19" t="str">
        <f aca="false">IF($A237="","",IFERROR(INDEX(Denetimler!$C:$C,MATCH($A237,Denetimler!$A:$A,0)),"No yok"))</f>
        <v>Mağaza F</v>
      </c>
      <c r="I237" s="19" t="str">
        <f aca="false">IF($A237="","",IFERROR(INDEX(Denetimler!$D:$D,MATCH($A237,Denetimler!$A:$A,0)),"No yok"))</f>
        <v>ASA</v>
      </c>
      <c r="J237" s="19" t="str">
        <f aca="false">IF($A237="","",IFERROR(INDEX(Denetimler!$E:$E,MATCH($A237,Denetimler!$A:$A,0)),"No yok"))</f>
        <v>Esas denetim</v>
      </c>
      <c r="K237" s="25" t="n">
        <f aca="false">IF($A237="","",IFERROR(INDEX(Denetimler!$B:$B,MATCH($A237,Denetimler!$A:$A,0)),"No yok"))</f>
        <v>46146</v>
      </c>
    </row>
    <row r="238" customFormat="false" ht="15" hidden="false" customHeight="false" outlineLevel="0" collapsed="false">
      <c r="A238" s="24" t="s">
        <v>182</v>
      </c>
      <c r="B238" s="24" t="s">
        <v>228</v>
      </c>
      <c r="C238" s="24" t="s">
        <v>206</v>
      </c>
      <c r="D238" s="19" t="str">
        <f aca="false">IF($B238="","",IFERROR(INDEX(Madde_Listesi!$C:$C,MATCH($B238,Madde_Listesi!$B:$B,0)),"Kod yok"))</f>
        <v>Personel indirimleri kurala uygun kullanılıyor</v>
      </c>
      <c r="E238" s="19" t="str">
        <f aca="false">IF($B238="","",IFERROR(INDEX(Madde_Listesi!$D:$D,MATCH($B238,Madde_Listesi!$B:$B,0)),"Kod yok"))</f>
        <v>İşlem</v>
      </c>
      <c r="F238" s="19" t="str">
        <f aca="false">IF($B238="","",IFERROR(INDEX(Madde_Listesi!$E:$E,MATCH($B238,Madde_Listesi!$B:$B,0)),"Kod yok"))</f>
        <v>Minör</v>
      </c>
      <c r="G238" s="19" t="str">
        <f aca="false">IF($B238="","",IFERROR(INDEX(Madde_Listesi!$F:$F,MATCH($B238,Madde_Listesi!$B:$B,0)),"Kod yok"))</f>
        <v>İptal ve iade süreçleri</v>
      </c>
      <c r="H238" s="19" t="str">
        <f aca="false">IF($A238="","",IFERROR(INDEX(Denetimler!$C:$C,MATCH($A238,Denetimler!$A:$A,0)),"No yok"))</f>
        <v>Mağaza F</v>
      </c>
      <c r="I238" s="19" t="str">
        <f aca="false">IF($A238="","",IFERROR(INDEX(Denetimler!$D:$D,MATCH($A238,Denetimler!$A:$A,0)),"No yok"))</f>
        <v>PAP</v>
      </c>
      <c r="J238" s="19" t="str">
        <f aca="false">IF($A238="","",IFERROR(INDEX(Denetimler!$E:$E,MATCH($A238,Denetimler!$A:$A,0)),"No yok"))</f>
        <v>Esas denetim</v>
      </c>
      <c r="K238" s="25" t="n">
        <f aca="false">IF($A238="","",IFERROR(INDEX(Denetimler!$B:$B,MATCH($A238,Denetimler!$A:$A,0)),"No yok"))</f>
        <v>46190</v>
      </c>
    </row>
    <row r="239" customFormat="false" ht="15" hidden="false" customHeight="false" outlineLevel="0" collapsed="false">
      <c r="A239" s="24" t="s">
        <v>182</v>
      </c>
      <c r="B239" s="24" t="s">
        <v>217</v>
      </c>
      <c r="C239" s="24" t="s">
        <v>206</v>
      </c>
      <c r="D239" s="19" t="str">
        <f aca="false">IF($B239="","",IFERROR(INDEX(Madde_Listesi!$C:$C,MATCH($B239,Madde_Listesi!$B:$B,0)),"Kod yok"))</f>
        <v>Kamera kayıtları erişilebilir ve süresi uygun</v>
      </c>
      <c r="E239" s="19" t="str">
        <f aca="false">IF($B239="","",IFERROR(INDEX(Madde_Listesi!$D:$D,MATCH($B239,Madde_Listesi!$B:$B,0)),"Kod yok"))</f>
        <v>Güvenlik</v>
      </c>
      <c r="F239" s="19" t="str">
        <f aca="false">IF($B239="","",IFERROR(INDEX(Madde_Listesi!$E:$E,MATCH($B239,Madde_Listesi!$B:$B,0)),"Kod yok"))</f>
        <v>Minör</v>
      </c>
      <c r="G239" s="19" t="str">
        <f aca="false">IF($B239="","",IFERROR(INDEX(Madde_Listesi!$F:$F,MATCH($B239,Madde_Listesi!$B:$B,0)),"Kod yok"))</f>
        <v>Mağaza güvenliği</v>
      </c>
      <c r="H239" s="19" t="str">
        <f aca="false">IF($A239="","",IFERROR(INDEX(Denetimler!$C:$C,MATCH($A239,Denetimler!$A:$A,0)),"No yok"))</f>
        <v>Mağaza F</v>
      </c>
      <c r="I239" s="19" t="str">
        <f aca="false">IF($A239="","",IFERROR(INDEX(Denetimler!$D:$D,MATCH($A239,Denetimler!$A:$A,0)),"No yok"))</f>
        <v>PAP</v>
      </c>
      <c r="J239" s="19" t="str">
        <f aca="false">IF($A239="","",IFERROR(INDEX(Denetimler!$E:$E,MATCH($A239,Denetimler!$A:$A,0)),"No yok"))</f>
        <v>Esas denetim</v>
      </c>
      <c r="K239" s="25" t="n">
        <f aca="false">IF($A239="","",IFERROR(INDEX(Denetimler!$B:$B,MATCH($A239,Denetimler!$A:$A,0)),"No yok"))</f>
        <v>46190</v>
      </c>
    </row>
    <row r="240" customFormat="false" ht="15" hidden="false" customHeight="false" outlineLevel="0" collapsed="false">
      <c r="A240" s="24" t="s">
        <v>182</v>
      </c>
      <c r="B240" s="24" t="s">
        <v>217</v>
      </c>
      <c r="C240" s="24" t="s">
        <v>206</v>
      </c>
      <c r="D240" s="19" t="str">
        <f aca="false">IF($B240="","",IFERROR(INDEX(Madde_Listesi!$C:$C,MATCH($B240,Madde_Listesi!$B:$B,0)),"Kod yok"))</f>
        <v>Kamera kayıtları erişilebilir ve süresi uygun</v>
      </c>
      <c r="E240" s="19" t="str">
        <f aca="false">IF($B240="","",IFERROR(INDEX(Madde_Listesi!$D:$D,MATCH($B240,Madde_Listesi!$B:$B,0)),"Kod yok"))</f>
        <v>Güvenlik</v>
      </c>
      <c r="F240" s="19" t="str">
        <f aca="false">IF($B240="","",IFERROR(INDEX(Madde_Listesi!$E:$E,MATCH($B240,Madde_Listesi!$B:$B,0)),"Kod yok"))</f>
        <v>Minör</v>
      </c>
      <c r="G240" s="19" t="str">
        <f aca="false">IF($B240="","",IFERROR(INDEX(Madde_Listesi!$F:$F,MATCH($B240,Madde_Listesi!$B:$B,0)),"Kod yok"))</f>
        <v>Mağaza güvenliği</v>
      </c>
      <c r="H240" s="19" t="str">
        <f aca="false">IF($A240="","",IFERROR(INDEX(Denetimler!$C:$C,MATCH($A240,Denetimler!$A:$A,0)),"No yok"))</f>
        <v>Mağaza F</v>
      </c>
      <c r="I240" s="19" t="str">
        <f aca="false">IF($A240="","",IFERROR(INDEX(Denetimler!$D:$D,MATCH($A240,Denetimler!$A:$A,0)),"No yok"))</f>
        <v>PAP</v>
      </c>
      <c r="J240" s="19" t="str">
        <f aca="false">IF($A240="","",IFERROR(INDEX(Denetimler!$E:$E,MATCH($A240,Denetimler!$A:$A,0)),"No yok"))</f>
        <v>Esas denetim</v>
      </c>
      <c r="K240" s="25" t="n">
        <f aca="false">IF($A240="","",IFERROR(INDEX(Denetimler!$B:$B,MATCH($A240,Denetimler!$A:$A,0)),"No yok"))</f>
        <v>46190</v>
      </c>
    </row>
    <row r="241" customFormat="false" ht="15" hidden="false" customHeight="false" outlineLevel="0" collapsed="false">
      <c r="A241" s="24" t="s">
        <v>182</v>
      </c>
      <c r="B241" s="24" t="s">
        <v>225</v>
      </c>
      <c r="C241" s="24" t="s">
        <v>206</v>
      </c>
      <c r="D241" s="19" t="str">
        <f aca="false">IF($B241="","",IFERROR(INDEX(Madde_Listesi!$C:$C,MATCH($B241,Madde_Listesi!$B:$B,0)),"Kod yok"))</f>
        <v>Fire ve zayi kayıtları belgeli</v>
      </c>
      <c r="E241" s="19" t="str">
        <f aca="false">IF($B241="","",IFERROR(INDEX(Madde_Listesi!$D:$D,MATCH($B241,Madde_Listesi!$B:$B,0)),"Kod yok"))</f>
        <v>Stok</v>
      </c>
      <c r="F241" s="19" t="str">
        <f aca="false">IF($B241="","",IFERROR(INDEX(Madde_Listesi!$E:$E,MATCH($B241,Madde_Listesi!$B:$B,0)),"Kod yok"))</f>
        <v>Major</v>
      </c>
      <c r="G241" s="19" t="str">
        <f aca="false">IF($B241="","",IFERROR(INDEX(Madde_Listesi!$F:$F,MATCH($B241,Madde_Listesi!$B:$B,0)),"Kod yok"))</f>
        <v>Stok ve sipariş yönetimi</v>
      </c>
      <c r="H241" s="19" t="str">
        <f aca="false">IF($A241="","",IFERROR(INDEX(Denetimler!$C:$C,MATCH($A241,Denetimler!$A:$A,0)),"No yok"))</f>
        <v>Mağaza F</v>
      </c>
      <c r="I241" s="19" t="str">
        <f aca="false">IF($A241="","",IFERROR(INDEX(Denetimler!$D:$D,MATCH($A241,Denetimler!$A:$A,0)),"No yok"))</f>
        <v>PAP</v>
      </c>
      <c r="J241" s="19" t="str">
        <f aca="false">IF($A241="","",IFERROR(INDEX(Denetimler!$E:$E,MATCH($A241,Denetimler!$A:$A,0)),"No yok"))</f>
        <v>Esas denetim</v>
      </c>
      <c r="K241" s="25" t="n">
        <f aca="false">IF($A241="","",IFERROR(INDEX(Denetimler!$B:$B,MATCH($A241,Denetimler!$A:$A,0)),"No yok"))</f>
        <v>46190</v>
      </c>
    </row>
    <row r="242" customFormat="false" ht="15" hidden="false" customHeight="false" outlineLevel="0" collapsed="false">
      <c r="A242" s="24" t="s">
        <v>182</v>
      </c>
      <c r="B242" s="24" t="s">
        <v>224</v>
      </c>
      <c r="C242" s="24" t="s">
        <v>206</v>
      </c>
      <c r="D242" s="19" t="str">
        <f aca="false">IF($B242="","",IFERROR(INDEX(Madde_Listesi!$C:$C,MATCH($B242,Madde_Listesi!$B:$B,0)),"Kod yok"))</f>
        <v>İptal ve iade işlemleri yönetici onaylı</v>
      </c>
      <c r="E242" s="19" t="str">
        <f aca="false">IF($B242="","",IFERROR(INDEX(Madde_Listesi!$D:$D,MATCH($B242,Madde_Listesi!$B:$B,0)),"Kod yok"))</f>
        <v>İşlem</v>
      </c>
      <c r="F242" s="19" t="str">
        <f aca="false">IF($B242="","",IFERROR(INDEX(Madde_Listesi!$E:$E,MATCH($B242,Madde_Listesi!$B:$B,0)),"Kod yok"))</f>
        <v>Major</v>
      </c>
      <c r="G242" s="19" t="str">
        <f aca="false">IF($B242="","",IFERROR(INDEX(Madde_Listesi!$F:$F,MATCH($B242,Madde_Listesi!$B:$B,0)),"Kod yok"))</f>
        <v>İptal ve iade süreçleri</v>
      </c>
      <c r="H242" s="19" t="str">
        <f aca="false">IF($A242="","",IFERROR(INDEX(Denetimler!$C:$C,MATCH($A242,Denetimler!$A:$A,0)),"No yok"))</f>
        <v>Mağaza F</v>
      </c>
      <c r="I242" s="19" t="str">
        <f aca="false">IF($A242="","",IFERROR(INDEX(Denetimler!$D:$D,MATCH($A242,Denetimler!$A:$A,0)),"No yok"))</f>
        <v>PAP</v>
      </c>
      <c r="J242" s="19" t="str">
        <f aca="false">IF($A242="","",IFERROR(INDEX(Denetimler!$E:$E,MATCH($A242,Denetimler!$A:$A,0)),"No yok"))</f>
        <v>Esas denetim</v>
      </c>
      <c r="K242" s="25" t="n">
        <f aca="false">IF($A242="","",IFERROR(INDEX(Denetimler!$B:$B,MATCH($A242,Denetimler!$A:$A,0)),"No yok"))</f>
        <v>46190</v>
      </c>
    </row>
    <row r="243" customFormat="false" ht="15" hidden="false" customHeight="false" outlineLevel="0" collapsed="false">
      <c r="A243" s="24" t="s">
        <v>167</v>
      </c>
      <c r="B243" s="24" t="s">
        <v>214</v>
      </c>
      <c r="C243" s="24" t="s">
        <v>206</v>
      </c>
      <c r="D243" s="19" t="str">
        <f aca="false">IF($B243="","",IFERROR(INDEX(Madde_Listesi!$C:$C,MATCH($B243,Madde_Listesi!$B:$B,0)),"Kod yok"))</f>
        <v>Sıcaklık kayıtları tam ve zamanında tutulmuş</v>
      </c>
      <c r="E243" s="19" t="str">
        <f aca="false">IF($B243="","",IFERROR(INDEX(Madde_Listesi!$D:$D,MATCH($B243,Madde_Listesi!$B:$B,0)),"Kod yok"))</f>
        <v>Sıcaklık</v>
      </c>
      <c r="F243" s="19" t="str">
        <f aca="false">IF($B243="","",IFERROR(INDEX(Madde_Listesi!$E:$E,MATCH($B243,Madde_Listesi!$B:$B,0)),"Kod yok"))</f>
        <v>Major</v>
      </c>
      <c r="G243" s="19" t="str">
        <f aca="false">IF($B243="","",IFERROR(INDEX(Madde_Listesi!$F:$F,MATCH($B243,Madde_Listesi!$B:$B,0)),"Kod yok"))</f>
        <v>Soğuk zincir ve sıcaklık kontrolü</v>
      </c>
      <c r="H243" s="19" t="str">
        <f aca="false">IF($A243="","",IFERROR(INDEX(Denetimler!$C:$C,MATCH($A243,Denetimler!$A:$A,0)),"No yok"))</f>
        <v>Mağaza F</v>
      </c>
      <c r="I243" s="19" t="str">
        <f aca="false">IF($A243="","",IFERROR(INDEX(Denetimler!$D:$D,MATCH($A243,Denetimler!$A:$A,0)),"No yok"))</f>
        <v>RSA</v>
      </c>
      <c r="J243" s="19" t="str">
        <f aca="false">IF($A243="","",IFERROR(INDEX(Denetimler!$E:$E,MATCH($A243,Denetimler!$A:$A,0)),"No yok"))</f>
        <v>Esas denetim</v>
      </c>
      <c r="K243" s="25" t="n">
        <f aca="false">IF($A243="","",IFERROR(INDEX(Denetimler!$B:$B,MATCH($A243,Denetimler!$A:$A,0)),"No yok"))</f>
        <v>46158</v>
      </c>
    </row>
    <row r="244" customFormat="false" ht="15" hidden="false" customHeight="false" outlineLevel="0" collapsed="false">
      <c r="A244" s="24" t="s">
        <v>184</v>
      </c>
      <c r="B244" s="24" t="s">
        <v>205</v>
      </c>
      <c r="C244" s="24" t="s">
        <v>206</v>
      </c>
      <c r="D244" s="19" t="str">
        <f aca="false">IF($B244="","",IFERROR(INDEX(Madde_Listesi!$C:$C,MATCH($B244,Madde_Listesi!$B:$B,0)),"Kod yok"))</f>
        <v>Stok sayımı ve sipariş kayıtları tutarlı</v>
      </c>
      <c r="E244" s="19" t="str">
        <f aca="false">IF($B244="","",IFERROR(INDEX(Madde_Listesi!$D:$D,MATCH($B244,Madde_Listesi!$B:$B,0)),"Kod yok"))</f>
        <v>Stok</v>
      </c>
      <c r="F244" s="19" t="str">
        <f aca="false">IF($B244="","",IFERROR(INDEX(Madde_Listesi!$E:$E,MATCH($B244,Madde_Listesi!$B:$B,0)),"Kod yok"))</f>
        <v>Major</v>
      </c>
      <c r="G244" s="19" t="str">
        <f aca="false">IF($B244="","",IFERROR(INDEX(Madde_Listesi!$F:$F,MATCH($B244,Madde_Listesi!$B:$B,0)),"Kod yok"))</f>
        <v>Stok ve sipariş yönetimi</v>
      </c>
      <c r="H244" s="19" t="str">
        <f aca="false">IF($A244="","",IFERROR(INDEX(Denetimler!$C:$C,MATCH($A244,Denetimler!$A:$A,0)),"No yok"))</f>
        <v>Mağaza G</v>
      </c>
      <c r="I244" s="19" t="str">
        <f aca="false">IF($A244="","",IFERROR(INDEX(Denetimler!$D:$D,MATCH($A244,Denetimler!$A:$A,0)),"No yok"))</f>
        <v>ASA</v>
      </c>
      <c r="J244" s="19" t="str">
        <f aca="false">IF($A244="","",IFERROR(INDEX(Denetimler!$E:$E,MATCH($A244,Denetimler!$A:$A,0)),"No yok"))</f>
        <v>Esas denetim</v>
      </c>
      <c r="K244" s="25" t="n">
        <f aca="false">IF($A244="","",IFERROR(INDEX(Denetimler!$B:$B,MATCH($A244,Denetimler!$A:$A,0)),"No yok"))</f>
        <v>46193</v>
      </c>
    </row>
    <row r="245" customFormat="false" ht="15" hidden="false" customHeight="false" outlineLevel="0" collapsed="false">
      <c r="A245" s="24" t="s">
        <v>184</v>
      </c>
      <c r="B245" s="24" t="s">
        <v>220</v>
      </c>
      <c r="C245" s="24" t="s">
        <v>206</v>
      </c>
      <c r="D245" s="19" t="str">
        <f aca="false">IF($B245="","",IFERROR(INDEX(Madde_Listesi!$C:$C,MATCH($B245,Madde_Listesi!$B:$B,0)),"Kod yok"))</f>
        <v>Zorunlu eğitimler tamamlanmış</v>
      </c>
      <c r="E245" s="19" t="str">
        <f aca="false">IF($B245="","",IFERROR(INDEX(Madde_Listesi!$D:$D,MATCH($B245,Madde_Listesi!$B:$B,0)),"Kod yok"))</f>
        <v>Ekip</v>
      </c>
      <c r="F245" s="19" t="str">
        <f aca="false">IF($B245="","",IFERROR(INDEX(Madde_Listesi!$E:$E,MATCH($B245,Madde_Listesi!$B:$B,0)),"Kod yok"))</f>
        <v>Major</v>
      </c>
      <c r="G245" s="19" t="str">
        <f aca="false">IF($B245="","",IFERROR(INDEX(Madde_Listesi!$F:$F,MATCH($B245,Madde_Listesi!$B:$B,0)),"Kod yok"))</f>
        <v>Eğitim takibi</v>
      </c>
      <c r="H245" s="19" t="str">
        <f aca="false">IF($A245="","",IFERROR(INDEX(Denetimler!$C:$C,MATCH($A245,Denetimler!$A:$A,0)),"No yok"))</f>
        <v>Mağaza G</v>
      </c>
      <c r="I245" s="19" t="str">
        <f aca="false">IF($A245="","",IFERROR(INDEX(Denetimler!$D:$D,MATCH($A245,Denetimler!$A:$A,0)),"No yok"))</f>
        <v>ASA</v>
      </c>
      <c r="J245" s="19" t="str">
        <f aca="false">IF($A245="","",IFERROR(INDEX(Denetimler!$E:$E,MATCH($A245,Denetimler!$A:$A,0)),"No yok"))</f>
        <v>Esas denetim</v>
      </c>
      <c r="K245" s="25" t="n">
        <f aca="false">IF($A245="","",IFERROR(INDEX(Denetimler!$B:$B,MATCH($A245,Denetimler!$A:$A,0)),"No yok"))</f>
        <v>46193</v>
      </c>
    </row>
    <row r="246" customFormat="false" ht="15" hidden="false" customHeight="false" outlineLevel="0" collapsed="false">
      <c r="A246" s="24" t="s">
        <v>161</v>
      </c>
      <c r="B246" s="24" t="s">
        <v>226</v>
      </c>
      <c r="C246" s="24" t="s">
        <v>206</v>
      </c>
      <c r="D246" s="19" t="str">
        <f aca="false">IF($B246="","",IFERROR(INDEX(Madde_Listesi!$C:$C,MATCH($B246,Madde_Listesi!$B:$B,0)),"Kod yok"))</f>
        <v>Kasa farkları kayıt altına alınmış ve açıklanmış</v>
      </c>
      <c r="E246" s="19" t="str">
        <f aca="false">IF($B246="","",IFERROR(INDEX(Madde_Listesi!$D:$D,MATCH($B246,Madde_Listesi!$B:$B,0)),"Kod yok"))</f>
        <v>Nakit</v>
      </c>
      <c r="F246" s="19" t="str">
        <f aca="false">IF($B246="","",IFERROR(INDEX(Madde_Listesi!$E:$E,MATCH($B246,Madde_Listesi!$B:$B,0)),"Kod yok"))</f>
        <v>Kritik</v>
      </c>
      <c r="G246" s="19" t="str">
        <f aca="false">IF($B246="","",IFERROR(INDEX(Madde_Listesi!$F:$F,MATCH($B246,Madde_Listesi!$B:$B,0)),"Kod yok"))</f>
        <v>Kasa prosedürleri</v>
      </c>
      <c r="H246" s="19" t="str">
        <f aca="false">IF($A246="","",IFERROR(INDEX(Denetimler!$C:$C,MATCH($A246,Denetimler!$A:$A,0)),"No yok"))</f>
        <v>Mağaza G</v>
      </c>
      <c r="I246" s="19" t="str">
        <f aca="false">IF($A246="","",IFERROR(INDEX(Denetimler!$D:$D,MATCH($A246,Denetimler!$A:$A,0)),"No yok"))</f>
        <v>PAP</v>
      </c>
      <c r="J246" s="19" t="str">
        <f aca="false">IF($A246="","",IFERROR(INDEX(Denetimler!$E:$E,MATCH($A246,Denetimler!$A:$A,0)),"No yok"))</f>
        <v>Esas denetim</v>
      </c>
      <c r="K246" s="25" t="n">
        <f aca="false">IF($A246="","",IFERROR(INDEX(Denetimler!$B:$B,MATCH($A246,Denetimler!$A:$A,0)),"No yok"))</f>
        <v>46153</v>
      </c>
    </row>
    <row r="247" customFormat="false" ht="15" hidden="false" customHeight="false" outlineLevel="0" collapsed="false">
      <c r="A247" s="24" t="s">
        <v>161</v>
      </c>
      <c r="B247" s="24" t="s">
        <v>218</v>
      </c>
      <c r="C247" s="24" t="s">
        <v>206</v>
      </c>
      <c r="D247" s="19" t="str">
        <f aca="false">IF($B247="","",IFERROR(INDEX(Madde_Listesi!$C:$C,MATCH($B247,Madde_Listesi!$B:$B,0)),"Kod yok"))</f>
        <v>Depo ve kasa anahtarları yetkili kişide</v>
      </c>
      <c r="E247" s="19" t="str">
        <f aca="false">IF($B247="","",IFERROR(INDEX(Madde_Listesi!$D:$D,MATCH($B247,Madde_Listesi!$B:$B,0)),"Kod yok"))</f>
        <v>Güvenlik</v>
      </c>
      <c r="F247" s="19" t="str">
        <f aca="false">IF($B247="","",IFERROR(INDEX(Madde_Listesi!$E:$E,MATCH($B247,Madde_Listesi!$B:$B,0)),"Kod yok"))</f>
        <v>Major</v>
      </c>
      <c r="G247" s="19" t="str">
        <f aca="false">IF($B247="","",IFERROR(INDEX(Madde_Listesi!$F:$F,MATCH($B247,Madde_Listesi!$B:$B,0)),"Kod yok"))</f>
        <v>Mağaza güvenliği</v>
      </c>
      <c r="H247" s="19" t="str">
        <f aca="false">IF($A247="","",IFERROR(INDEX(Denetimler!$C:$C,MATCH($A247,Denetimler!$A:$A,0)),"No yok"))</f>
        <v>Mağaza G</v>
      </c>
      <c r="I247" s="19" t="str">
        <f aca="false">IF($A247="","",IFERROR(INDEX(Denetimler!$D:$D,MATCH($A247,Denetimler!$A:$A,0)),"No yok"))</f>
        <v>PAP</v>
      </c>
      <c r="J247" s="19" t="str">
        <f aca="false">IF($A247="","",IFERROR(INDEX(Denetimler!$E:$E,MATCH($A247,Denetimler!$A:$A,0)),"No yok"))</f>
        <v>Esas denetim</v>
      </c>
      <c r="K247" s="25" t="n">
        <f aca="false">IF($A247="","",IFERROR(INDEX(Denetimler!$B:$B,MATCH($A247,Denetimler!$A:$A,0)),"No yok"))</f>
        <v>46153</v>
      </c>
    </row>
    <row r="248" customFormat="false" ht="15" hidden="false" customHeight="false" outlineLevel="0" collapsed="false">
      <c r="A248" s="24" t="s">
        <v>161</v>
      </c>
      <c r="B248" s="24" t="s">
        <v>226</v>
      </c>
      <c r="C248" s="24" t="s">
        <v>206</v>
      </c>
      <c r="D248" s="19" t="str">
        <f aca="false">IF($B248="","",IFERROR(INDEX(Madde_Listesi!$C:$C,MATCH($B248,Madde_Listesi!$B:$B,0)),"Kod yok"))</f>
        <v>Kasa farkları kayıt altına alınmış ve açıklanmış</v>
      </c>
      <c r="E248" s="19" t="str">
        <f aca="false">IF($B248="","",IFERROR(INDEX(Madde_Listesi!$D:$D,MATCH($B248,Madde_Listesi!$B:$B,0)),"Kod yok"))</f>
        <v>Nakit</v>
      </c>
      <c r="F248" s="19" t="str">
        <f aca="false">IF($B248="","",IFERROR(INDEX(Madde_Listesi!$E:$E,MATCH($B248,Madde_Listesi!$B:$B,0)),"Kod yok"))</f>
        <v>Kritik</v>
      </c>
      <c r="G248" s="19" t="str">
        <f aca="false">IF($B248="","",IFERROR(INDEX(Madde_Listesi!$F:$F,MATCH($B248,Madde_Listesi!$B:$B,0)),"Kod yok"))</f>
        <v>Kasa prosedürleri</v>
      </c>
      <c r="H248" s="19" t="str">
        <f aca="false">IF($A248="","",IFERROR(INDEX(Denetimler!$C:$C,MATCH($A248,Denetimler!$A:$A,0)),"No yok"))</f>
        <v>Mağaza G</v>
      </c>
      <c r="I248" s="19" t="str">
        <f aca="false">IF($A248="","",IFERROR(INDEX(Denetimler!$D:$D,MATCH($A248,Denetimler!$A:$A,0)),"No yok"))</f>
        <v>PAP</v>
      </c>
      <c r="J248" s="19" t="str">
        <f aca="false">IF($A248="","",IFERROR(INDEX(Denetimler!$E:$E,MATCH($A248,Denetimler!$A:$A,0)),"No yok"))</f>
        <v>Esas denetim</v>
      </c>
      <c r="K248" s="25" t="n">
        <f aca="false">IF($A248="","",IFERROR(INDEX(Denetimler!$B:$B,MATCH($A248,Denetimler!$A:$A,0)),"No yok"))</f>
        <v>46153</v>
      </c>
    </row>
    <row r="249" customFormat="false" ht="15" hidden="false" customHeight="false" outlineLevel="0" collapsed="false">
      <c r="A249" s="24" t="s">
        <v>161</v>
      </c>
      <c r="B249" s="24" t="s">
        <v>221</v>
      </c>
      <c r="C249" s="24" t="s">
        <v>206</v>
      </c>
      <c r="D249" s="19" t="str">
        <f aca="false">IF($B249="","",IFERROR(INDEX(Madde_Listesi!$C:$C,MATCH($B249,Madde_Listesi!$B:$B,0)),"Kod yok"))</f>
        <v>Kasa limitinin üzerindeki nakit zamanında kasaya aktarılıyor</v>
      </c>
      <c r="E249" s="19" t="str">
        <f aca="false">IF($B249="","",IFERROR(INDEX(Madde_Listesi!$D:$D,MATCH($B249,Madde_Listesi!$B:$B,0)),"Kod yok"))</f>
        <v>Nakit</v>
      </c>
      <c r="F249" s="19" t="str">
        <f aca="false">IF($B249="","",IFERROR(INDEX(Madde_Listesi!$E:$E,MATCH($B249,Madde_Listesi!$B:$B,0)),"Kod yok"))</f>
        <v>Major</v>
      </c>
      <c r="G249" s="19" t="str">
        <f aca="false">IF($B249="","",IFERROR(INDEX(Madde_Listesi!$F:$F,MATCH($B249,Madde_Listesi!$B:$B,0)),"Kod yok"))</f>
        <v>Kasa prosedürleri</v>
      </c>
      <c r="H249" s="19" t="str">
        <f aca="false">IF($A249="","",IFERROR(INDEX(Denetimler!$C:$C,MATCH($A249,Denetimler!$A:$A,0)),"No yok"))</f>
        <v>Mağaza G</v>
      </c>
      <c r="I249" s="19" t="str">
        <f aca="false">IF($A249="","",IFERROR(INDEX(Denetimler!$D:$D,MATCH($A249,Denetimler!$A:$A,0)),"No yok"))</f>
        <v>PAP</v>
      </c>
      <c r="J249" s="19" t="str">
        <f aca="false">IF($A249="","",IFERROR(INDEX(Denetimler!$E:$E,MATCH($A249,Denetimler!$A:$A,0)),"No yok"))</f>
        <v>Esas denetim</v>
      </c>
      <c r="K249" s="25" t="n">
        <f aca="false">IF($A249="","",IFERROR(INDEX(Denetimler!$B:$B,MATCH($A249,Denetimler!$A:$A,0)),"No yok"))</f>
        <v>46153</v>
      </c>
    </row>
    <row r="250" customFormat="false" ht="15" hidden="false" customHeight="false" outlineLevel="0" collapsed="false">
      <c r="A250" s="24" t="s">
        <v>161</v>
      </c>
      <c r="B250" s="24" t="s">
        <v>224</v>
      </c>
      <c r="C250" s="24" t="s">
        <v>206</v>
      </c>
      <c r="D250" s="19" t="str">
        <f aca="false">IF($B250="","",IFERROR(INDEX(Madde_Listesi!$C:$C,MATCH($B250,Madde_Listesi!$B:$B,0)),"Kod yok"))</f>
        <v>İptal ve iade işlemleri yönetici onaylı</v>
      </c>
      <c r="E250" s="19" t="str">
        <f aca="false">IF($B250="","",IFERROR(INDEX(Madde_Listesi!$D:$D,MATCH($B250,Madde_Listesi!$B:$B,0)),"Kod yok"))</f>
        <v>İşlem</v>
      </c>
      <c r="F250" s="19" t="str">
        <f aca="false">IF($B250="","",IFERROR(INDEX(Madde_Listesi!$E:$E,MATCH($B250,Madde_Listesi!$B:$B,0)),"Kod yok"))</f>
        <v>Major</v>
      </c>
      <c r="G250" s="19" t="str">
        <f aca="false">IF($B250="","",IFERROR(INDEX(Madde_Listesi!$F:$F,MATCH($B250,Madde_Listesi!$B:$B,0)),"Kod yok"))</f>
        <v>İptal ve iade süreçleri</v>
      </c>
      <c r="H250" s="19" t="str">
        <f aca="false">IF($A250="","",IFERROR(INDEX(Denetimler!$C:$C,MATCH($A250,Denetimler!$A:$A,0)),"No yok"))</f>
        <v>Mağaza G</v>
      </c>
      <c r="I250" s="19" t="str">
        <f aca="false">IF($A250="","",IFERROR(INDEX(Denetimler!$D:$D,MATCH($A250,Denetimler!$A:$A,0)),"No yok"))</f>
        <v>PAP</v>
      </c>
      <c r="J250" s="19" t="str">
        <f aca="false">IF($A250="","",IFERROR(INDEX(Denetimler!$E:$E,MATCH($A250,Denetimler!$A:$A,0)),"No yok"))</f>
        <v>Esas denetim</v>
      </c>
      <c r="K250" s="25" t="n">
        <f aca="false">IF($A250="","",IFERROR(INDEX(Denetimler!$B:$B,MATCH($A250,Denetimler!$A:$A,0)),"No yok"))</f>
        <v>46153</v>
      </c>
    </row>
    <row r="251" customFormat="false" ht="15" hidden="false" customHeight="false" outlineLevel="0" collapsed="false">
      <c r="A251" s="24" t="s">
        <v>161</v>
      </c>
      <c r="B251" s="24" t="s">
        <v>228</v>
      </c>
      <c r="C251" s="24" t="s">
        <v>206</v>
      </c>
      <c r="D251" s="19" t="str">
        <f aca="false">IF($B251="","",IFERROR(INDEX(Madde_Listesi!$C:$C,MATCH($B251,Madde_Listesi!$B:$B,0)),"Kod yok"))</f>
        <v>Personel indirimleri kurala uygun kullanılıyor</v>
      </c>
      <c r="E251" s="19" t="str">
        <f aca="false">IF($B251="","",IFERROR(INDEX(Madde_Listesi!$D:$D,MATCH($B251,Madde_Listesi!$B:$B,0)),"Kod yok"))</f>
        <v>İşlem</v>
      </c>
      <c r="F251" s="19" t="str">
        <f aca="false">IF($B251="","",IFERROR(INDEX(Madde_Listesi!$E:$E,MATCH($B251,Madde_Listesi!$B:$B,0)),"Kod yok"))</f>
        <v>Minör</v>
      </c>
      <c r="G251" s="19" t="str">
        <f aca="false">IF($B251="","",IFERROR(INDEX(Madde_Listesi!$F:$F,MATCH($B251,Madde_Listesi!$B:$B,0)),"Kod yok"))</f>
        <v>İptal ve iade süreçleri</v>
      </c>
      <c r="H251" s="19" t="str">
        <f aca="false">IF($A251="","",IFERROR(INDEX(Denetimler!$C:$C,MATCH($A251,Denetimler!$A:$A,0)),"No yok"))</f>
        <v>Mağaza G</v>
      </c>
      <c r="I251" s="19" t="str">
        <f aca="false">IF($A251="","",IFERROR(INDEX(Denetimler!$D:$D,MATCH($A251,Denetimler!$A:$A,0)),"No yok"))</f>
        <v>PAP</v>
      </c>
      <c r="J251" s="19" t="str">
        <f aca="false">IF($A251="","",IFERROR(INDEX(Denetimler!$E:$E,MATCH($A251,Denetimler!$A:$A,0)),"No yok"))</f>
        <v>Esas denetim</v>
      </c>
      <c r="K251" s="25" t="n">
        <f aca="false">IF($A251="","",IFERROR(INDEX(Denetimler!$B:$B,MATCH($A251,Denetimler!$A:$A,0)),"No yok"))</f>
        <v>46153</v>
      </c>
    </row>
    <row r="252" customFormat="false" ht="15" hidden="false" customHeight="false" outlineLevel="0" collapsed="false">
      <c r="A252" s="24" t="s">
        <v>161</v>
      </c>
      <c r="B252" s="24" t="s">
        <v>228</v>
      </c>
      <c r="C252" s="24" t="s">
        <v>206</v>
      </c>
      <c r="D252" s="19" t="str">
        <f aca="false">IF($B252="","",IFERROR(INDEX(Madde_Listesi!$C:$C,MATCH($B252,Madde_Listesi!$B:$B,0)),"Kod yok"))</f>
        <v>Personel indirimleri kurala uygun kullanılıyor</v>
      </c>
      <c r="E252" s="19" t="str">
        <f aca="false">IF($B252="","",IFERROR(INDEX(Madde_Listesi!$D:$D,MATCH($B252,Madde_Listesi!$B:$B,0)),"Kod yok"))</f>
        <v>İşlem</v>
      </c>
      <c r="F252" s="19" t="str">
        <f aca="false">IF($B252="","",IFERROR(INDEX(Madde_Listesi!$E:$E,MATCH($B252,Madde_Listesi!$B:$B,0)),"Kod yok"))</f>
        <v>Minör</v>
      </c>
      <c r="G252" s="19" t="str">
        <f aca="false">IF($B252="","",IFERROR(INDEX(Madde_Listesi!$F:$F,MATCH($B252,Madde_Listesi!$B:$B,0)),"Kod yok"))</f>
        <v>İptal ve iade süreçleri</v>
      </c>
      <c r="H252" s="19" t="str">
        <f aca="false">IF($A252="","",IFERROR(INDEX(Denetimler!$C:$C,MATCH($A252,Denetimler!$A:$A,0)),"No yok"))</f>
        <v>Mağaza G</v>
      </c>
      <c r="I252" s="19" t="str">
        <f aca="false">IF($A252="","",IFERROR(INDEX(Denetimler!$D:$D,MATCH($A252,Denetimler!$A:$A,0)),"No yok"))</f>
        <v>PAP</v>
      </c>
      <c r="J252" s="19" t="str">
        <f aca="false">IF($A252="","",IFERROR(INDEX(Denetimler!$E:$E,MATCH($A252,Denetimler!$A:$A,0)),"No yok"))</f>
        <v>Esas denetim</v>
      </c>
      <c r="K252" s="25" t="n">
        <f aca="false">IF($A252="","",IFERROR(INDEX(Denetimler!$B:$B,MATCH($A252,Denetimler!$A:$A,0)),"No yok"))</f>
        <v>46153</v>
      </c>
    </row>
    <row r="253" customFormat="false" ht="15" hidden="false" customHeight="false" outlineLevel="0" collapsed="false">
      <c r="A253" s="24" t="s">
        <v>143</v>
      </c>
      <c r="B253" s="24" t="s">
        <v>214</v>
      </c>
      <c r="C253" s="24" t="s">
        <v>206</v>
      </c>
      <c r="D253" s="19" t="str">
        <f aca="false">IF($B253="","",IFERROR(INDEX(Madde_Listesi!$C:$C,MATCH($B253,Madde_Listesi!$B:$B,0)),"Kod yok"))</f>
        <v>Sıcaklık kayıtları tam ve zamanında tutulmuş</v>
      </c>
      <c r="E253" s="19" t="str">
        <f aca="false">IF($B253="","",IFERROR(INDEX(Madde_Listesi!$D:$D,MATCH($B253,Madde_Listesi!$B:$B,0)),"Kod yok"))</f>
        <v>Sıcaklık</v>
      </c>
      <c r="F253" s="19" t="str">
        <f aca="false">IF($B253="","",IFERROR(INDEX(Madde_Listesi!$E:$E,MATCH($B253,Madde_Listesi!$B:$B,0)),"Kod yok"))</f>
        <v>Major</v>
      </c>
      <c r="G253" s="19" t="str">
        <f aca="false">IF($B253="","",IFERROR(INDEX(Madde_Listesi!$F:$F,MATCH($B253,Madde_Listesi!$B:$B,0)),"Kod yok"))</f>
        <v>Soğuk zincir ve sıcaklık kontrolü</v>
      </c>
      <c r="H253" s="19" t="str">
        <f aca="false">IF($A253="","",IFERROR(INDEX(Denetimler!$C:$C,MATCH($A253,Denetimler!$A:$A,0)),"No yok"))</f>
        <v>Mağaza G</v>
      </c>
      <c r="I253" s="19" t="str">
        <f aca="false">IF($A253="","",IFERROR(INDEX(Denetimler!$D:$D,MATCH($A253,Denetimler!$A:$A,0)),"No yok"))</f>
        <v>RSA</v>
      </c>
      <c r="J253" s="19" t="str">
        <f aca="false">IF($A253="","",IFERROR(INDEX(Denetimler!$E:$E,MATCH($A253,Denetimler!$A:$A,0)),"No yok"))</f>
        <v>Esas denetim</v>
      </c>
      <c r="K253" s="25" t="n">
        <f aca="false">IF($A253="","",IFERROR(INDEX(Denetimler!$B:$B,MATCH($A253,Denetimler!$A:$A,0)),"No yok"))</f>
        <v>46092</v>
      </c>
    </row>
    <row r="254" customFormat="false" ht="15" hidden="false" customHeight="false" outlineLevel="0" collapsed="false">
      <c r="A254" s="24" t="s">
        <v>143</v>
      </c>
      <c r="B254" s="24" t="s">
        <v>214</v>
      </c>
      <c r="C254" s="24" t="s">
        <v>206</v>
      </c>
      <c r="D254" s="19" t="str">
        <f aca="false">IF($B254="","",IFERROR(INDEX(Madde_Listesi!$C:$C,MATCH($B254,Madde_Listesi!$B:$B,0)),"Kod yok"))</f>
        <v>Sıcaklık kayıtları tam ve zamanında tutulmuş</v>
      </c>
      <c r="E254" s="19" t="str">
        <f aca="false">IF($B254="","",IFERROR(INDEX(Madde_Listesi!$D:$D,MATCH($B254,Madde_Listesi!$B:$B,0)),"Kod yok"))</f>
        <v>Sıcaklık</v>
      </c>
      <c r="F254" s="19" t="str">
        <f aca="false">IF($B254="","",IFERROR(INDEX(Madde_Listesi!$E:$E,MATCH($B254,Madde_Listesi!$B:$B,0)),"Kod yok"))</f>
        <v>Major</v>
      </c>
      <c r="G254" s="19" t="str">
        <f aca="false">IF($B254="","",IFERROR(INDEX(Madde_Listesi!$F:$F,MATCH($B254,Madde_Listesi!$B:$B,0)),"Kod yok"))</f>
        <v>Soğuk zincir ve sıcaklık kontrolü</v>
      </c>
      <c r="H254" s="19" t="str">
        <f aca="false">IF($A254="","",IFERROR(INDEX(Denetimler!$C:$C,MATCH($A254,Denetimler!$A:$A,0)),"No yok"))</f>
        <v>Mağaza G</v>
      </c>
      <c r="I254" s="19" t="str">
        <f aca="false">IF($A254="","",IFERROR(INDEX(Denetimler!$D:$D,MATCH($A254,Denetimler!$A:$A,0)),"No yok"))</f>
        <v>RSA</v>
      </c>
      <c r="J254" s="19" t="str">
        <f aca="false">IF($A254="","",IFERROR(INDEX(Denetimler!$E:$E,MATCH($A254,Denetimler!$A:$A,0)),"No yok"))</f>
        <v>Esas denetim</v>
      </c>
      <c r="K254" s="25" t="n">
        <f aca="false">IF($A254="","",IFERROR(INDEX(Denetimler!$B:$B,MATCH($A254,Denetimler!$A:$A,0)),"No yok"))</f>
        <v>46092</v>
      </c>
    </row>
    <row r="255" customFormat="false" ht="15" hidden="false" customHeight="false" outlineLevel="0" collapsed="false">
      <c r="A255" s="24" t="s">
        <v>143</v>
      </c>
      <c r="B255" s="24" t="s">
        <v>222</v>
      </c>
      <c r="C255" s="24" t="s">
        <v>206</v>
      </c>
      <c r="D255" s="19" t="str">
        <f aca="false">IF($B255="","",IFERROR(INDEX(Madde_Listesi!$C:$C,MATCH($B255,Madde_Listesi!$B:$B,0)),"Kod yok"))</f>
        <v>Çalışan takı ve kişisel hijyen kurallarına uyuyor</v>
      </c>
      <c r="E255" s="19" t="str">
        <f aca="false">IF($B255="","",IFERROR(INDEX(Madde_Listesi!$D:$D,MATCH($B255,Madde_Listesi!$B:$B,0)),"Kod yok"))</f>
        <v>Partner</v>
      </c>
      <c r="F255" s="19" t="str">
        <f aca="false">IF($B255="","",IFERROR(INDEX(Madde_Listesi!$E:$E,MATCH($B255,Madde_Listesi!$B:$B,0)),"Kod yok"))</f>
        <v>Major</v>
      </c>
      <c r="G255" s="19" t="str">
        <f aca="false">IF($B255="","",IFERROR(INDEX(Madde_Listesi!$F:$F,MATCH($B255,Madde_Listesi!$B:$B,0)),"Kod yok"))</f>
        <v>Kişisel hijyen</v>
      </c>
      <c r="H255" s="19" t="str">
        <f aca="false">IF($A255="","",IFERROR(INDEX(Denetimler!$C:$C,MATCH($A255,Denetimler!$A:$A,0)),"No yok"))</f>
        <v>Mağaza G</v>
      </c>
      <c r="I255" s="19" t="str">
        <f aca="false">IF($A255="","",IFERROR(INDEX(Denetimler!$D:$D,MATCH($A255,Denetimler!$A:$A,0)),"No yok"))</f>
        <v>RSA</v>
      </c>
      <c r="J255" s="19" t="str">
        <f aca="false">IF($A255="","",IFERROR(INDEX(Denetimler!$E:$E,MATCH($A255,Denetimler!$A:$A,0)),"No yok"))</f>
        <v>Esas denetim</v>
      </c>
      <c r="K255" s="25" t="n">
        <f aca="false">IF($A255="","",IFERROR(INDEX(Denetimler!$B:$B,MATCH($A255,Denetimler!$A:$A,0)),"No yok"))</f>
        <v>46092</v>
      </c>
    </row>
    <row r="256" customFormat="false" ht="15" hidden="false" customHeight="false" outlineLevel="0" collapsed="false">
      <c r="A256" s="24" t="s">
        <v>143</v>
      </c>
      <c r="B256" s="24" t="s">
        <v>223</v>
      </c>
      <c r="C256" s="24" t="s">
        <v>206</v>
      </c>
      <c r="D256" s="19" t="str">
        <f aca="false">IF($B256="","",IFERROR(INDEX(Madde_Listesi!$C:$C,MATCH($B256,Madde_Listesi!$B:$B,0)),"Kod yok"))</f>
        <v>Ürünlerin son kullanma tarihleri geçerli ve etiketli</v>
      </c>
      <c r="E256" s="19" t="str">
        <f aca="false">IF($B256="","",IFERROR(INDEX(Madde_Listesi!$D:$D,MATCH($B256,Madde_Listesi!$B:$B,0)),"Kod yok"))</f>
        <v>Bulaşma</v>
      </c>
      <c r="F256" s="19" t="str">
        <f aca="false">IF($B256="","",IFERROR(INDEX(Madde_Listesi!$E:$E,MATCH($B256,Madde_Listesi!$B:$B,0)),"Kod yok"))</f>
        <v>Kritik</v>
      </c>
      <c r="G256" s="19" t="str">
        <f aca="false">IF($B256="","",IFERROR(INDEX(Madde_Listesi!$F:$F,MATCH($B256,Madde_Listesi!$B:$B,0)),"Kod yok"))</f>
        <v>Ürün tarihleme ve etiketleme</v>
      </c>
      <c r="H256" s="19" t="str">
        <f aca="false">IF($A256="","",IFERROR(INDEX(Denetimler!$C:$C,MATCH($A256,Denetimler!$A:$A,0)),"No yok"))</f>
        <v>Mağaza G</v>
      </c>
      <c r="I256" s="19" t="str">
        <f aca="false">IF($A256="","",IFERROR(INDEX(Denetimler!$D:$D,MATCH($A256,Denetimler!$A:$A,0)),"No yok"))</f>
        <v>RSA</v>
      </c>
      <c r="J256" s="19" t="str">
        <f aca="false">IF($A256="","",IFERROR(INDEX(Denetimler!$E:$E,MATCH($A256,Denetimler!$A:$A,0)),"No yok"))</f>
        <v>Esas denetim</v>
      </c>
      <c r="K256" s="25" t="n">
        <f aca="false">IF($A256="","",IFERROR(INDEX(Denetimler!$B:$B,MATCH($A256,Denetimler!$A:$A,0)),"No yok"))</f>
        <v>46092</v>
      </c>
    </row>
    <row r="257" customFormat="false" ht="15" hidden="false" customHeight="false" outlineLevel="0" collapsed="false">
      <c r="A257" s="24" t="s">
        <v>195</v>
      </c>
      <c r="B257" s="24" t="s">
        <v>207</v>
      </c>
      <c r="C257" s="24" t="s">
        <v>206</v>
      </c>
      <c r="D257" s="19" t="str">
        <f aca="false">IF($B257="","",IFERROR(INDEX(Madde_Listesi!$C:$C,MATCH($B257,Madde_Listesi!$B:$B,0)),"Kod yok"))</f>
        <v>Vardiya planı yoğunluğa uygun hazırlanmış</v>
      </c>
      <c r="E257" s="19" t="str">
        <f aca="false">IF($B257="","",IFERROR(INDEX(Madde_Listesi!$D:$D,MATCH($B257,Madde_Listesi!$B:$B,0)),"Kod yok"))</f>
        <v>Operasyon</v>
      </c>
      <c r="F257" s="19" t="str">
        <f aca="false">IF($B257="","",IFERROR(INDEX(Madde_Listesi!$E:$E,MATCH($B257,Madde_Listesi!$B:$B,0)),"Kod yok"))</f>
        <v>Major</v>
      </c>
      <c r="G257" s="19" t="str">
        <f aca="false">IF($B257="","",IFERROR(INDEX(Madde_Listesi!$F:$F,MATCH($B257,Madde_Listesi!$B:$B,0)),"Kod yok"))</f>
        <v>Vardiya planlama</v>
      </c>
      <c r="H257" s="19" t="str">
        <f aca="false">IF($A257="","",IFERROR(INDEX(Denetimler!$C:$C,MATCH($A257,Denetimler!$A:$A,0)),"No yok"))</f>
        <v>Mağaza H</v>
      </c>
      <c r="I257" s="19" t="str">
        <f aca="false">IF($A257="","",IFERROR(INDEX(Denetimler!$D:$D,MATCH($A257,Denetimler!$A:$A,0)),"No yok"))</f>
        <v>ASA</v>
      </c>
      <c r="J257" s="19" t="str">
        <f aca="false">IF($A257="","",IFERROR(INDEX(Denetimler!$E:$E,MATCH($A257,Denetimler!$A:$A,0)),"No yok"))</f>
        <v>Esas denetim</v>
      </c>
      <c r="K257" s="25" t="n">
        <f aca="false">IF($A257="","",IFERROR(INDEX(Denetimler!$B:$B,MATCH($A257,Denetimler!$A:$A,0)),"No yok"))</f>
        <v>46248</v>
      </c>
    </row>
    <row r="258" customFormat="false" ht="15" hidden="false" customHeight="false" outlineLevel="0" collapsed="false">
      <c r="A258" s="24" t="s">
        <v>195</v>
      </c>
      <c r="B258" s="24" t="s">
        <v>208</v>
      </c>
      <c r="C258" s="24" t="s">
        <v>206</v>
      </c>
      <c r="D258" s="19" t="str">
        <f aca="false">IF($B258="","",IFERROR(INDEX(Madde_Listesi!$C:$C,MATCH($B258,Madde_Listesi!$B:$B,0)),"Kod yok"))</f>
        <v>Salon ve misafir alanı temiz ve düzenli</v>
      </c>
      <c r="E258" s="19" t="str">
        <f aca="false">IF($B258="","",IFERROR(INDEX(Madde_Listesi!$D:$D,MATCH($B258,Madde_Listesi!$B:$B,0)),"Kod yok"))</f>
        <v>Misafir deneyimi</v>
      </c>
      <c r="F258" s="19" t="str">
        <f aca="false">IF($B258="","",IFERROR(INDEX(Madde_Listesi!$E:$E,MATCH($B258,Madde_Listesi!$B:$B,0)),"Kod yok"))</f>
        <v>Minör</v>
      </c>
      <c r="G258" s="19" t="str">
        <f aca="false">IF($B258="","",IFERROR(INDEX(Madde_Listesi!$F:$F,MATCH($B258,Madde_Listesi!$B:$B,0)),"Kod yok"))</f>
        <v>Mağaza standartları</v>
      </c>
      <c r="H258" s="19" t="str">
        <f aca="false">IF($A258="","",IFERROR(INDEX(Denetimler!$C:$C,MATCH($A258,Denetimler!$A:$A,0)),"No yok"))</f>
        <v>Mağaza H</v>
      </c>
      <c r="I258" s="19" t="str">
        <f aca="false">IF($A258="","",IFERROR(INDEX(Denetimler!$D:$D,MATCH($A258,Denetimler!$A:$A,0)),"No yok"))</f>
        <v>ASA</v>
      </c>
      <c r="J258" s="19" t="str">
        <f aca="false">IF($A258="","",IFERROR(INDEX(Denetimler!$E:$E,MATCH($A258,Denetimler!$A:$A,0)),"No yok"))</f>
        <v>Esas denetim</v>
      </c>
      <c r="K258" s="25" t="n">
        <f aca="false">IF($A258="","",IFERROR(INDEX(Denetimler!$B:$B,MATCH($A258,Denetimler!$A:$A,0)),"No yok"))</f>
        <v>46248</v>
      </c>
    </row>
    <row r="259" customFormat="false" ht="15" hidden="false" customHeight="false" outlineLevel="0" collapsed="false">
      <c r="A259" s="24" t="s">
        <v>195</v>
      </c>
      <c r="B259" s="24" t="s">
        <v>205</v>
      </c>
      <c r="C259" s="24" t="s">
        <v>206</v>
      </c>
      <c r="D259" s="19" t="str">
        <f aca="false">IF($B259="","",IFERROR(INDEX(Madde_Listesi!$C:$C,MATCH($B259,Madde_Listesi!$B:$B,0)),"Kod yok"))</f>
        <v>Stok sayımı ve sipariş kayıtları tutarlı</v>
      </c>
      <c r="E259" s="19" t="str">
        <f aca="false">IF($B259="","",IFERROR(INDEX(Madde_Listesi!$D:$D,MATCH($B259,Madde_Listesi!$B:$B,0)),"Kod yok"))</f>
        <v>Stok</v>
      </c>
      <c r="F259" s="19" t="str">
        <f aca="false">IF($B259="","",IFERROR(INDEX(Madde_Listesi!$E:$E,MATCH($B259,Madde_Listesi!$B:$B,0)),"Kod yok"))</f>
        <v>Major</v>
      </c>
      <c r="G259" s="19" t="str">
        <f aca="false">IF($B259="","",IFERROR(INDEX(Madde_Listesi!$F:$F,MATCH($B259,Madde_Listesi!$B:$B,0)),"Kod yok"))</f>
        <v>Stok ve sipariş yönetimi</v>
      </c>
      <c r="H259" s="19" t="str">
        <f aca="false">IF($A259="","",IFERROR(INDEX(Denetimler!$C:$C,MATCH($A259,Denetimler!$A:$A,0)),"No yok"))</f>
        <v>Mağaza H</v>
      </c>
      <c r="I259" s="19" t="str">
        <f aca="false">IF($A259="","",IFERROR(INDEX(Denetimler!$D:$D,MATCH($A259,Denetimler!$A:$A,0)),"No yok"))</f>
        <v>ASA</v>
      </c>
      <c r="J259" s="19" t="str">
        <f aca="false">IF($A259="","",IFERROR(INDEX(Denetimler!$E:$E,MATCH($A259,Denetimler!$A:$A,0)),"No yok"))</f>
        <v>Esas denetim</v>
      </c>
      <c r="K259" s="25" t="n">
        <f aca="false">IF($A259="","",IFERROR(INDEX(Denetimler!$B:$B,MATCH($A259,Denetimler!$A:$A,0)),"No yok"))</f>
        <v>46248</v>
      </c>
    </row>
    <row r="260" customFormat="false" ht="15" hidden="false" customHeight="false" outlineLevel="0" collapsed="false">
      <c r="A260" s="24" t="s">
        <v>195</v>
      </c>
      <c r="B260" s="24" t="s">
        <v>205</v>
      </c>
      <c r="C260" s="24" t="s">
        <v>206</v>
      </c>
      <c r="D260" s="19" t="str">
        <f aca="false">IF($B260="","",IFERROR(INDEX(Madde_Listesi!$C:$C,MATCH($B260,Madde_Listesi!$B:$B,0)),"Kod yok"))</f>
        <v>Stok sayımı ve sipariş kayıtları tutarlı</v>
      </c>
      <c r="E260" s="19" t="str">
        <f aca="false">IF($B260="","",IFERROR(INDEX(Madde_Listesi!$D:$D,MATCH($B260,Madde_Listesi!$B:$B,0)),"Kod yok"))</f>
        <v>Stok</v>
      </c>
      <c r="F260" s="19" t="str">
        <f aca="false">IF($B260="","",IFERROR(INDEX(Madde_Listesi!$E:$E,MATCH($B260,Madde_Listesi!$B:$B,0)),"Kod yok"))</f>
        <v>Major</v>
      </c>
      <c r="G260" s="19" t="str">
        <f aca="false">IF($B260="","",IFERROR(INDEX(Madde_Listesi!$F:$F,MATCH($B260,Madde_Listesi!$B:$B,0)),"Kod yok"))</f>
        <v>Stok ve sipariş yönetimi</v>
      </c>
      <c r="H260" s="19" t="str">
        <f aca="false">IF($A260="","",IFERROR(INDEX(Denetimler!$C:$C,MATCH($A260,Denetimler!$A:$A,0)),"No yok"))</f>
        <v>Mağaza H</v>
      </c>
      <c r="I260" s="19" t="str">
        <f aca="false">IF($A260="","",IFERROR(INDEX(Denetimler!$D:$D,MATCH($A260,Denetimler!$A:$A,0)),"No yok"))</f>
        <v>ASA</v>
      </c>
      <c r="J260" s="19" t="str">
        <f aca="false">IF($A260="","",IFERROR(INDEX(Denetimler!$E:$E,MATCH($A260,Denetimler!$A:$A,0)),"No yok"))</f>
        <v>Esas denetim</v>
      </c>
      <c r="K260" s="25" t="n">
        <f aca="false">IF($A260="","",IFERROR(INDEX(Denetimler!$B:$B,MATCH($A260,Denetimler!$A:$A,0)),"No yok"))</f>
        <v>46248</v>
      </c>
    </row>
    <row r="261" customFormat="false" ht="15" hidden="false" customHeight="false" outlineLevel="0" collapsed="false">
      <c r="A261" s="24" t="s">
        <v>195</v>
      </c>
      <c r="B261" s="24" t="s">
        <v>205</v>
      </c>
      <c r="C261" s="24" t="s">
        <v>206</v>
      </c>
      <c r="D261" s="19" t="str">
        <f aca="false">IF($B261="","",IFERROR(INDEX(Madde_Listesi!$C:$C,MATCH($B261,Madde_Listesi!$B:$B,0)),"Kod yok"))</f>
        <v>Stok sayımı ve sipariş kayıtları tutarlı</v>
      </c>
      <c r="E261" s="19" t="str">
        <f aca="false">IF($B261="","",IFERROR(INDEX(Madde_Listesi!$D:$D,MATCH($B261,Madde_Listesi!$B:$B,0)),"Kod yok"))</f>
        <v>Stok</v>
      </c>
      <c r="F261" s="19" t="str">
        <f aca="false">IF($B261="","",IFERROR(INDEX(Madde_Listesi!$E:$E,MATCH($B261,Madde_Listesi!$B:$B,0)),"Kod yok"))</f>
        <v>Major</v>
      </c>
      <c r="G261" s="19" t="str">
        <f aca="false">IF($B261="","",IFERROR(INDEX(Madde_Listesi!$F:$F,MATCH($B261,Madde_Listesi!$B:$B,0)),"Kod yok"))</f>
        <v>Stok ve sipariş yönetimi</v>
      </c>
      <c r="H261" s="19" t="str">
        <f aca="false">IF($A261="","",IFERROR(INDEX(Denetimler!$C:$C,MATCH($A261,Denetimler!$A:$A,0)),"No yok"))</f>
        <v>Mağaza H</v>
      </c>
      <c r="I261" s="19" t="str">
        <f aca="false">IF($A261="","",IFERROR(INDEX(Denetimler!$D:$D,MATCH($A261,Denetimler!$A:$A,0)),"No yok"))</f>
        <v>ASA</v>
      </c>
      <c r="J261" s="19" t="str">
        <f aca="false">IF($A261="","",IFERROR(INDEX(Denetimler!$E:$E,MATCH($A261,Denetimler!$A:$A,0)),"No yok"))</f>
        <v>Esas denetim</v>
      </c>
      <c r="K261" s="25" t="n">
        <f aca="false">IF($A261="","",IFERROR(INDEX(Denetimler!$B:$B,MATCH($A261,Denetimler!$A:$A,0)),"No yok"))</f>
        <v>46248</v>
      </c>
    </row>
    <row r="262" customFormat="false" ht="15" hidden="false" customHeight="false" outlineLevel="0" collapsed="false">
      <c r="A262" s="24" t="s">
        <v>145</v>
      </c>
      <c r="B262" s="24" t="s">
        <v>228</v>
      </c>
      <c r="C262" s="24" t="s">
        <v>206</v>
      </c>
      <c r="D262" s="19" t="str">
        <f aca="false">IF($B262="","",IFERROR(INDEX(Madde_Listesi!$C:$C,MATCH($B262,Madde_Listesi!$B:$B,0)),"Kod yok"))</f>
        <v>Personel indirimleri kurala uygun kullanılıyor</v>
      </c>
      <c r="E262" s="19" t="str">
        <f aca="false">IF($B262="","",IFERROR(INDEX(Madde_Listesi!$D:$D,MATCH($B262,Madde_Listesi!$B:$B,0)),"Kod yok"))</f>
        <v>İşlem</v>
      </c>
      <c r="F262" s="19" t="str">
        <f aca="false">IF($B262="","",IFERROR(INDEX(Madde_Listesi!$E:$E,MATCH($B262,Madde_Listesi!$B:$B,0)),"Kod yok"))</f>
        <v>Minör</v>
      </c>
      <c r="G262" s="19" t="str">
        <f aca="false">IF($B262="","",IFERROR(INDEX(Madde_Listesi!$F:$F,MATCH($B262,Madde_Listesi!$B:$B,0)),"Kod yok"))</f>
        <v>İptal ve iade süreçleri</v>
      </c>
      <c r="H262" s="19" t="str">
        <f aca="false">IF($A262="","",IFERROR(INDEX(Denetimler!$C:$C,MATCH($A262,Denetimler!$A:$A,0)),"No yok"))</f>
        <v>Mağaza H</v>
      </c>
      <c r="I262" s="19" t="str">
        <f aca="false">IF($A262="","",IFERROR(INDEX(Denetimler!$D:$D,MATCH($A262,Denetimler!$A:$A,0)),"No yok"))</f>
        <v>PAP</v>
      </c>
      <c r="J262" s="19" t="str">
        <f aca="false">IF($A262="","",IFERROR(INDEX(Denetimler!$E:$E,MATCH($A262,Denetimler!$A:$A,0)),"No yok"))</f>
        <v>Esas denetim</v>
      </c>
      <c r="K262" s="25" t="n">
        <f aca="false">IF($A262="","",IFERROR(INDEX(Denetimler!$B:$B,MATCH($A262,Denetimler!$A:$A,0)),"No yok"))</f>
        <v>46104</v>
      </c>
    </row>
    <row r="263" customFormat="false" ht="15" hidden="false" customHeight="false" outlineLevel="0" collapsed="false">
      <c r="A263" s="24" t="s">
        <v>145</v>
      </c>
      <c r="B263" s="24" t="s">
        <v>221</v>
      </c>
      <c r="C263" s="24" t="s">
        <v>206</v>
      </c>
      <c r="D263" s="19" t="str">
        <f aca="false">IF($B263="","",IFERROR(INDEX(Madde_Listesi!$C:$C,MATCH($B263,Madde_Listesi!$B:$B,0)),"Kod yok"))</f>
        <v>Kasa limitinin üzerindeki nakit zamanında kasaya aktarılıyor</v>
      </c>
      <c r="E263" s="19" t="str">
        <f aca="false">IF($B263="","",IFERROR(INDEX(Madde_Listesi!$D:$D,MATCH($B263,Madde_Listesi!$B:$B,0)),"Kod yok"))</f>
        <v>Nakit</v>
      </c>
      <c r="F263" s="19" t="str">
        <f aca="false">IF($B263="","",IFERROR(INDEX(Madde_Listesi!$E:$E,MATCH($B263,Madde_Listesi!$B:$B,0)),"Kod yok"))</f>
        <v>Major</v>
      </c>
      <c r="G263" s="19" t="str">
        <f aca="false">IF($B263="","",IFERROR(INDEX(Madde_Listesi!$F:$F,MATCH($B263,Madde_Listesi!$B:$B,0)),"Kod yok"))</f>
        <v>Kasa prosedürleri</v>
      </c>
      <c r="H263" s="19" t="str">
        <f aca="false">IF($A263="","",IFERROR(INDEX(Denetimler!$C:$C,MATCH($A263,Denetimler!$A:$A,0)),"No yok"))</f>
        <v>Mağaza H</v>
      </c>
      <c r="I263" s="19" t="str">
        <f aca="false">IF($A263="","",IFERROR(INDEX(Denetimler!$D:$D,MATCH($A263,Denetimler!$A:$A,0)),"No yok"))</f>
        <v>PAP</v>
      </c>
      <c r="J263" s="19" t="str">
        <f aca="false">IF($A263="","",IFERROR(INDEX(Denetimler!$E:$E,MATCH($A263,Denetimler!$A:$A,0)),"No yok"))</f>
        <v>Esas denetim</v>
      </c>
      <c r="K263" s="25" t="n">
        <f aca="false">IF($A263="","",IFERROR(INDEX(Denetimler!$B:$B,MATCH($A263,Denetimler!$A:$A,0)),"No yok"))</f>
        <v>46104</v>
      </c>
    </row>
    <row r="264" customFormat="false" ht="15" hidden="false" customHeight="false" outlineLevel="0" collapsed="false">
      <c r="A264" s="24" t="s">
        <v>145</v>
      </c>
      <c r="B264" s="24" t="s">
        <v>228</v>
      </c>
      <c r="C264" s="24" t="s">
        <v>206</v>
      </c>
      <c r="D264" s="19" t="str">
        <f aca="false">IF($B264="","",IFERROR(INDEX(Madde_Listesi!$C:$C,MATCH($B264,Madde_Listesi!$B:$B,0)),"Kod yok"))</f>
        <v>Personel indirimleri kurala uygun kullanılıyor</v>
      </c>
      <c r="E264" s="19" t="str">
        <f aca="false">IF($B264="","",IFERROR(INDEX(Madde_Listesi!$D:$D,MATCH($B264,Madde_Listesi!$B:$B,0)),"Kod yok"))</f>
        <v>İşlem</v>
      </c>
      <c r="F264" s="19" t="str">
        <f aca="false">IF($B264="","",IFERROR(INDEX(Madde_Listesi!$E:$E,MATCH($B264,Madde_Listesi!$B:$B,0)),"Kod yok"))</f>
        <v>Minör</v>
      </c>
      <c r="G264" s="19" t="str">
        <f aca="false">IF($B264="","",IFERROR(INDEX(Madde_Listesi!$F:$F,MATCH($B264,Madde_Listesi!$B:$B,0)),"Kod yok"))</f>
        <v>İptal ve iade süreçleri</v>
      </c>
      <c r="H264" s="19" t="str">
        <f aca="false">IF($A264="","",IFERROR(INDEX(Denetimler!$C:$C,MATCH($A264,Denetimler!$A:$A,0)),"No yok"))</f>
        <v>Mağaza H</v>
      </c>
      <c r="I264" s="19" t="str">
        <f aca="false">IF($A264="","",IFERROR(INDEX(Denetimler!$D:$D,MATCH($A264,Denetimler!$A:$A,0)),"No yok"))</f>
        <v>PAP</v>
      </c>
      <c r="J264" s="19" t="str">
        <f aca="false">IF($A264="","",IFERROR(INDEX(Denetimler!$E:$E,MATCH($A264,Denetimler!$A:$A,0)),"No yok"))</f>
        <v>Esas denetim</v>
      </c>
      <c r="K264" s="25" t="n">
        <f aca="false">IF($A264="","",IFERROR(INDEX(Denetimler!$B:$B,MATCH($A264,Denetimler!$A:$A,0)),"No yok"))</f>
        <v>46104</v>
      </c>
    </row>
    <row r="265" customFormat="false" ht="15" hidden="false" customHeight="false" outlineLevel="0" collapsed="false">
      <c r="A265" s="24" t="s">
        <v>145</v>
      </c>
      <c r="B265" s="24" t="s">
        <v>217</v>
      </c>
      <c r="C265" s="24" t="s">
        <v>206</v>
      </c>
      <c r="D265" s="19" t="str">
        <f aca="false">IF($B265="","",IFERROR(INDEX(Madde_Listesi!$C:$C,MATCH($B265,Madde_Listesi!$B:$B,0)),"Kod yok"))</f>
        <v>Kamera kayıtları erişilebilir ve süresi uygun</v>
      </c>
      <c r="E265" s="19" t="str">
        <f aca="false">IF($B265="","",IFERROR(INDEX(Madde_Listesi!$D:$D,MATCH($B265,Madde_Listesi!$B:$B,0)),"Kod yok"))</f>
        <v>Güvenlik</v>
      </c>
      <c r="F265" s="19" t="str">
        <f aca="false">IF($B265="","",IFERROR(INDEX(Madde_Listesi!$E:$E,MATCH($B265,Madde_Listesi!$B:$B,0)),"Kod yok"))</f>
        <v>Minör</v>
      </c>
      <c r="G265" s="19" t="str">
        <f aca="false">IF($B265="","",IFERROR(INDEX(Madde_Listesi!$F:$F,MATCH($B265,Madde_Listesi!$B:$B,0)),"Kod yok"))</f>
        <v>Mağaza güvenliği</v>
      </c>
      <c r="H265" s="19" t="str">
        <f aca="false">IF($A265="","",IFERROR(INDEX(Denetimler!$C:$C,MATCH($A265,Denetimler!$A:$A,0)),"No yok"))</f>
        <v>Mağaza H</v>
      </c>
      <c r="I265" s="19" t="str">
        <f aca="false">IF($A265="","",IFERROR(INDEX(Denetimler!$D:$D,MATCH($A265,Denetimler!$A:$A,0)),"No yok"))</f>
        <v>PAP</v>
      </c>
      <c r="J265" s="19" t="str">
        <f aca="false">IF($A265="","",IFERROR(INDEX(Denetimler!$E:$E,MATCH($A265,Denetimler!$A:$A,0)),"No yok"))</f>
        <v>Esas denetim</v>
      </c>
      <c r="K265" s="25" t="n">
        <f aca="false">IF($A265="","",IFERROR(INDEX(Denetimler!$B:$B,MATCH($A265,Denetimler!$A:$A,0)),"No yok"))</f>
        <v>46104</v>
      </c>
    </row>
    <row r="266" customFormat="false" ht="15" hidden="false" customHeight="false" outlineLevel="0" collapsed="false">
      <c r="A266" s="24" t="s">
        <v>145</v>
      </c>
      <c r="B266" s="24" t="s">
        <v>226</v>
      </c>
      <c r="C266" s="24" t="s">
        <v>206</v>
      </c>
      <c r="D266" s="19" t="str">
        <f aca="false">IF($B266="","",IFERROR(INDEX(Madde_Listesi!$C:$C,MATCH($B266,Madde_Listesi!$B:$B,0)),"Kod yok"))</f>
        <v>Kasa farkları kayıt altına alınmış ve açıklanmış</v>
      </c>
      <c r="E266" s="19" t="str">
        <f aca="false">IF($B266="","",IFERROR(INDEX(Madde_Listesi!$D:$D,MATCH($B266,Madde_Listesi!$B:$B,0)),"Kod yok"))</f>
        <v>Nakit</v>
      </c>
      <c r="F266" s="19" t="str">
        <f aca="false">IF($B266="","",IFERROR(INDEX(Madde_Listesi!$E:$E,MATCH($B266,Madde_Listesi!$B:$B,0)),"Kod yok"))</f>
        <v>Kritik</v>
      </c>
      <c r="G266" s="19" t="str">
        <f aca="false">IF($B266="","",IFERROR(INDEX(Madde_Listesi!$F:$F,MATCH($B266,Madde_Listesi!$B:$B,0)),"Kod yok"))</f>
        <v>Kasa prosedürleri</v>
      </c>
      <c r="H266" s="19" t="str">
        <f aca="false">IF($A266="","",IFERROR(INDEX(Denetimler!$C:$C,MATCH($A266,Denetimler!$A:$A,0)),"No yok"))</f>
        <v>Mağaza H</v>
      </c>
      <c r="I266" s="19" t="str">
        <f aca="false">IF($A266="","",IFERROR(INDEX(Denetimler!$D:$D,MATCH($A266,Denetimler!$A:$A,0)),"No yok"))</f>
        <v>PAP</v>
      </c>
      <c r="J266" s="19" t="str">
        <f aca="false">IF($A266="","",IFERROR(INDEX(Denetimler!$E:$E,MATCH($A266,Denetimler!$A:$A,0)),"No yok"))</f>
        <v>Esas denetim</v>
      </c>
      <c r="K266" s="25" t="n">
        <f aca="false">IF($A266="","",IFERROR(INDEX(Denetimler!$B:$B,MATCH($A266,Denetimler!$A:$A,0)),"No yok"))</f>
        <v>46104</v>
      </c>
    </row>
    <row r="267" customFormat="false" ht="15" hidden="false" customHeight="false" outlineLevel="0" collapsed="false">
      <c r="A267" s="24" t="s">
        <v>142</v>
      </c>
      <c r="B267" s="24" t="s">
        <v>214</v>
      </c>
      <c r="C267" s="24" t="s">
        <v>206</v>
      </c>
      <c r="D267" s="19" t="str">
        <f aca="false">IF($B267="","",IFERROR(INDEX(Madde_Listesi!$C:$C,MATCH($B267,Madde_Listesi!$B:$B,0)),"Kod yok"))</f>
        <v>Sıcaklık kayıtları tam ve zamanında tutulmuş</v>
      </c>
      <c r="E267" s="19" t="str">
        <f aca="false">IF($B267="","",IFERROR(INDEX(Madde_Listesi!$D:$D,MATCH($B267,Madde_Listesi!$B:$B,0)),"Kod yok"))</f>
        <v>Sıcaklık</v>
      </c>
      <c r="F267" s="19" t="str">
        <f aca="false">IF($B267="","",IFERROR(INDEX(Madde_Listesi!$E:$E,MATCH($B267,Madde_Listesi!$B:$B,0)),"Kod yok"))</f>
        <v>Major</v>
      </c>
      <c r="G267" s="19" t="str">
        <f aca="false">IF($B267="","",IFERROR(INDEX(Madde_Listesi!$F:$F,MATCH($B267,Madde_Listesi!$B:$B,0)),"Kod yok"))</f>
        <v>Soğuk zincir ve sıcaklık kontrolü</v>
      </c>
      <c r="H267" s="19" t="str">
        <f aca="false">IF($A267="","",IFERROR(INDEX(Denetimler!$C:$C,MATCH($A267,Denetimler!$A:$A,0)),"No yok"))</f>
        <v>Mağaza H</v>
      </c>
      <c r="I267" s="19" t="str">
        <f aca="false">IF($A267="","",IFERROR(INDEX(Denetimler!$D:$D,MATCH($A267,Denetimler!$A:$A,0)),"No yok"))</f>
        <v>RSA</v>
      </c>
      <c r="J267" s="19" t="str">
        <f aca="false">IF($A267="","",IFERROR(INDEX(Denetimler!$E:$E,MATCH($A267,Denetimler!$A:$A,0)),"No yok"))</f>
        <v>Esas denetim</v>
      </c>
      <c r="K267" s="25" t="n">
        <f aca="false">IF($A267="","",IFERROR(INDEX(Denetimler!$B:$B,MATCH($A267,Denetimler!$A:$A,0)),"No yok"))</f>
        <v>46083</v>
      </c>
    </row>
    <row r="268" customFormat="false" ht="15" hidden="false" customHeight="false" outlineLevel="0" collapsed="false">
      <c r="A268" s="24" t="s">
        <v>142</v>
      </c>
      <c r="B268" s="24" t="s">
        <v>219</v>
      </c>
      <c r="C268" s="24" t="s">
        <v>206</v>
      </c>
      <c r="D268" s="19" t="str">
        <f aca="false">IF($B268="","",IFERROR(INDEX(Madde_Listesi!$C:$C,MATCH($B268,Madde_Listesi!$B:$B,0)),"Kod yok"))</f>
        <v>Depo ve arka alan duvar, zemin ve tavanları temiz ve sağlam</v>
      </c>
      <c r="E268" s="19" t="str">
        <f aca="false">IF($B268="","",IFERROR(INDEX(Madde_Listesi!$D:$D,MATCH($B268,Madde_Listesi!$B:$B,0)),"Kod yok"))</f>
        <v>Haşere</v>
      </c>
      <c r="F268" s="19" t="str">
        <f aca="false">IF($B268="","",IFERROR(INDEX(Madde_Listesi!$E:$E,MATCH($B268,Madde_Listesi!$B:$B,0)),"Kod yok"))</f>
        <v>Minör</v>
      </c>
      <c r="G268" s="19" t="str">
        <f aca="false">IF($B268="","",IFERROR(INDEX(Madde_Listesi!$F:$F,MATCH($B268,Madde_Listesi!$B:$B,0)),"Kod yok"))</f>
        <v>Haşere önleme</v>
      </c>
      <c r="H268" s="19" t="str">
        <f aca="false">IF($A268="","",IFERROR(INDEX(Denetimler!$C:$C,MATCH($A268,Denetimler!$A:$A,0)),"No yok"))</f>
        <v>Mağaza H</v>
      </c>
      <c r="I268" s="19" t="str">
        <f aca="false">IF($A268="","",IFERROR(INDEX(Denetimler!$D:$D,MATCH($A268,Denetimler!$A:$A,0)),"No yok"))</f>
        <v>RSA</v>
      </c>
      <c r="J268" s="19" t="str">
        <f aca="false">IF($A268="","",IFERROR(INDEX(Denetimler!$E:$E,MATCH($A268,Denetimler!$A:$A,0)),"No yok"))</f>
        <v>Esas denetim</v>
      </c>
      <c r="K268" s="25" t="n">
        <f aca="false">IF($A268="","",IFERROR(INDEX(Denetimler!$B:$B,MATCH($A268,Denetimler!$A:$A,0)),"No yok"))</f>
        <v>46083</v>
      </c>
    </row>
    <row r="269" customFormat="false" ht="15" hidden="false" customHeight="false" outlineLevel="0" collapsed="false">
      <c r="A269" s="24" t="s">
        <v>142</v>
      </c>
      <c r="B269" s="24" t="s">
        <v>213</v>
      </c>
      <c r="C269" s="24" t="s">
        <v>206</v>
      </c>
      <c r="D269" s="19" t="str">
        <f aca="false">IF($B269="","",IFERROR(INDEX(Madde_Listesi!$C:$C,MATCH($B269,Madde_Listesi!$B:$B,0)),"Kod yok"))</f>
        <v>Soğutucular uygun sıcaklıkta</v>
      </c>
      <c r="E269" s="19" t="str">
        <f aca="false">IF($B269="","",IFERROR(INDEX(Madde_Listesi!$D:$D,MATCH($B269,Madde_Listesi!$B:$B,0)),"Kod yok"))</f>
        <v>Sıcaklık</v>
      </c>
      <c r="F269" s="19" t="str">
        <f aca="false">IF($B269="","",IFERROR(INDEX(Madde_Listesi!$E:$E,MATCH($B269,Madde_Listesi!$B:$B,0)),"Kod yok"))</f>
        <v>Kritik</v>
      </c>
      <c r="G269" s="19" t="str">
        <f aca="false">IF($B269="","",IFERROR(INDEX(Madde_Listesi!$F:$F,MATCH($B269,Madde_Listesi!$B:$B,0)),"Kod yok"))</f>
        <v>Soğuk zincir ve sıcaklık kontrolü</v>
      </c>
      <c r="H269" s="19" t="str">
        <f aca="false">IF($A269="","",IFERROR(INDEX(Denetimler!$C:$C,MATCH($A269,Denetimler!$A:$A,0)),"No yok"))</f>
        <v>Mağaza H</v>
      </c>
      <c r="I269" s="19" t="str">
        <f aca="false">IF($A269="","",IFERROR(INDEX(Denetimler!$D:$D,MATCH($A269,Denetimler!$A:$A,0)),"No yok"))</f>
        <v>RSA</v>
      </c>
      <c r="J269" s="19" t="str">
        <f aca="false">IF($A269="","",IFERROR(INDEX(Denetimler!$E:$E,MATCH($A269,Denetimler!$A:$A,0)),"No yok"))</f>
        <v>Esas denetim</v>
      </c>
      <c r="K269" s="25" t="n">
        <f aca="false">IF($A269="","",IFERROR(INDEX(Denetimler!$B:$B,MATCH($A269,Denetimler!$A:$A,0)),"No yok"))</f>
        <v>46083</v>
      </c>
    </row>
    <row r="270" customFormat="false" ht="15" hidden="false" customHeight="false" outlineLevel="0" collapsed="false">
      <c r="A270" s="24" t="s">
        <v>142</v>
      </c>
      <c r="B270" s="24" t="s">
        <v>223</v>
      </c>
      <c r="C270" s="24" t="s">
        <v>206</v>
      </c>
      <c r="D270" s="19" t="str">
        <f aca="false">IF($B270="","",IFERROR(INDEX(Madde_Listesi!$C:$C,MATCH($B270,Madde_Listesi!$B:$B,0)),"Kod yok"))</f>
        <v>Ürünlerin son kullanma tarihleri geçerli ve etiketli</v>
      </c>
      <c r="E270" s="19" t="str">
        <f aca="false">IF($B270="","",IFERROR(INDEX(Madde_Listesi!$D:$D,MATCH($B270,Madde_Listesi!$B:$B,0)),"Kod yok"))</f>
        <v>Bulaşma</v>
      </c>
      <c r="F270" s="19" t="str">
        <f aca="false">IF($B270="","",IFERROR(INDEX(Madde_Listesi!$E:$E,MATCH($B270,Madde_Listesi!$B:$B,0)),"Kod yok"))</f>
        <v>Kritik</v>
      </c>
      <c r="G270" s="19" t="str">
        <f aca="false">IF($B270="","",IFERROR(INDEX(Madde_Listesi!$F:$F,MATCH($B270,Madde_Listesi!$B:$B,0)),"Kod yok"))</f>
        <v>Ürün tarihleme ve etiketleme</v>
      </c>
      <c r="H270" s="19" t="str">
        <f aca="false">IF($A270="","",IFERROR(INDEX(Denetimler!$C:$C,MATCH($A270,Denetimler!$A:$A,0)),"No yok"))</f>
        <v>Mağaza H</v>
      </c>
      <c r="I270" s="19" t="str">
        <f aca="false">IF($A270="","",IFERROR(INDEX(Denetimler!$D:$D,MATCH($A270,Denetimler!$A:$A,0)),"No yok"))</f>
        <v>RSA</v>
      </c>
      <c r="J270" s="19" t="str">
        <f aca="false">IF($A270="","",IFERROR(INDEX(Denetimler!$E:$E,MATCH($A270,Denetimler!$A:$A,0)),"No yok"))</f>
        <v>Esas denetim</v>
      </c>
      <c r="K270" s="25" t="n">
        <f aca="false">IF($A270="","",IFERROR(INDEX(Denetimler!$B:$B,MATCH($A270,Denetimler!$A:$A,0)),"No yok"))</f>
        <v>46083</v>
      </c>
    </row>
    <row r="271" customFormat="false" ht="15" hidden="false" customHeight="false" outlineLevel="0" collapsed="false">
      <c r="D271" s="19" t="str">
        <f aca="false">IF($B271="","",IFERROR(INDEX(Madde_Listesi!$C:$C,MATCH($B271,Madde_Listesi!$B:$B,0)),"Kod yok"))</f>
        <v/>
      </c>
      <c r="E271" s="19" t="str">
        <f aca="false">IF($B271="","",IFERROR(INDEX(Madde_Listesi!$D:$D,MATCH($B271,Madde_Listesi!$B:$B,0)),"Kod yok"))</f>
        <v/>
      </c>
      <c r="F271" s="19" t="str">
        <f aca="false">IF($B271="","",IFERROR(INDEX(Madde_Listesi!$E:$E,MATCH($B271,Madde_Listesi!$B:$B,0)),"Kod yok"))</f>
        <v/>
      </c>
      <c r="G271" s="19" t="str">
        <f aca="false">IF($B271="","",IFERROR(INDEX(Madde_Listesi!$F:$F,MATCH($B271,Madde_Listesi!$B:$B,0)),"Kod yok"))</f>
        <v/>
      </c>
      <c r="H271" s="19" t="str">
        <f aca="false">IF($A271="","",IFERROR(INDEX(Denetimler!$C:$C,MATCH($A271,Denetimler!$A:$A,0)),"No yok"))</f>
        <v/>
      </c>
      <c r="I271" s="19" t="str">
        <f aca="false">IF($A271="","",IFERROR(INDEX(Denetimler!$D:$D,MATCH($A271,Denetimler!$A:$A,0)),"No yok"))</f>
        <v/>
      </c>
      <c r="J271" s="19" t="str">
        <f aca="false">IF($A271="","",IFERROR(INDEX(Denetimler!$E:$E,MATCH($A271,Denetimler!$A:$A,0)),"No yok"))</f>
        <v/>
      </c>
      <c r="K271" s="25" t="str">
        <f aca="false">IF($A271="","",IFERROR(INDEX(Denetimler!$B:$B,MATCH($A271,Denetimler!$A:$A,0)),"No yok"))</f>
        <v/>
      </c>
    </row>
    <row r="272" customFormat="false" ht="15" hidden="false" customHeight="false" outlineLevel="0" collapsed="false">
      <c r="D272" s="19" t="str">
        <f aca="false">IF($B272="","",IFERROR(INDEX(Madde_Listesi!$C:$C,MATCH($B272,Madde_Listesi!$B:$B,0)),"Kod yok"))</f>
        <v/>
      </c>
      <c r="E272" s="19" t="str">
        <f aca="false">IF($B272="","",IFERROR(INDEX(Madde_Listesi!$D:$D,MATCH($B272,Madde_Listesi!$B:$B,0)),"Kod yok"))</f>
        <v/>
      </c>
      <c r="F272" s="19" t="str">
        <f aca="false">IF($B272="","",IFERROR(INDEX(Madde_Listesi!$E:$E,MATCH($B272,Madde_Listesi!$B:$B,0)),"Kod yok"))</f>
        <v/>
      </c>
      <c r="G272" s="19" t="str">
        <f aca="false">IF($B272="","",IFERROR(INDEX(Madde_Listesi!$F:$F,MATCH($B272,Madde_Listesi!$B:$B,0)),"Kod yok"))</f>
        <v/>
      </c>
      <c r="H272" s="19" t="str">
        <f aca="false">IF($A272="","",IFERROR(INDEX(Denetimler!$C:$C,MATCH($A272,Denetimler!$A:$A,0)),"No yok"))</f>
        <v/>
      </c>
      <c r="I272" s="19" t="str">
        <f aca="false">IF($A272="","",IFERROR(INDEX(Denetimler!$D:$D,MATCH($A272,Denetimler!$A:$A,0)),"No yok"))</f>
        <v/>
      </c>
      <c r="J272" s="19" t="str">
        <f aca="false">IF($A272="","",IFERROR(INDEX(Denetimler!$E:$E,MATCH($A272,Denetimler!$A:$A,0)),"No yok"))</f>
        <v/>
      </c>
      <c r="K272" s="25" t="str">
        <f aca="false">IF($A272="","",IFERROR(INDEX(Denetimler!$B:$B,MATCH($A272,Denetimler!$A:$A,0)),"No yok"))</f>
        <v/>
      </c>
    </row>
    <row r="273" customFormat="false" ht="15" hidden="false" customHeight="false" outlineLevel="0" collapsed="false">
      <c r="D273" s="19" t="str">
        <f aca="false">IF($B273="","",IFERROR(INDEX(Madde_Listesi!$C:$C,MATCH($B273,Madde_Listesi!$B:$B,0)),"Kod yok"))</f>
        <v/>
      </c>
      <c r="E273" s="19" t="str">
        <f aca="false">IF($B273="","",IFERROR(INDEX(Madde_Listesi!$D:$D,MATCH($B273,Madde_Listesi!$B:$B,0)),"Kod yok"))</f>
        <v/>
      </c>
      <c r="F273" s="19" t="str">
        <f aca="false">IF($B273="","",IFERROR(INDEX(Madde_Listesi!$E:$E,MATCH($B273,Madde_Listesi!$B:$B,0)),"Kod yok"))</f>
        <v/>
      </c>
      <c r="G273" s="19" t="str">
        <f aca="false">IF($B273="","",IFERROR(INDEX(Madde_Listesi!$F:$F,MATCH($B273,Madde_Listesi!$B:$B,0)),"Kod yok"))</f>
        <v/>
      </c>
      <c r="H273" s="19" t="str">
        <f aca="false">IF($A273="","",IFERROR(INDEX(Denetimler!$C:$C,MATCH($A273,Denetimler!$A:$A,0)),"No yok"))</f>
        <v/>
      </c>
      <c r="I273" s="19" t="str">
        <f aca="false">IF($A273="","",IFERROR(INDEX(Denetimler!$D:$D,MATCH($A273,Denetimler!$A:$A,0)),"No yok"))</f>
        <v/>
      </c>
      <c r="J273" s="19" t="str">
        <f aca="false">IF($A273="","",IFERROR(INDEX(Denetimler!$E:$E,MATCH($A273,Denetimler!$A:$A,0)),"No yok"))</f>
        <v/>
      </c>
      <c r="K273" s="25" t="str">
        <f aca="false">IF($A273="","",IFERROR(INDEX(Denetimler!$B:$B,MATCH($A273,Denetimler!$A:$A,0)),"No yok"))</f>
        <v/>
      </c>
    </row>
    <row r="274" customFormat="false" ht="15" hidden="false" customHeight="false" outlineLevel="0" collapsed="false">
      <c r="D274" s="19" t="str">
        <f aca="false">IF($B274="","",IFERROR(INDEX(Madde_Listesi!$C:$C,MATCH($B274,Madde_Listesi!$B:$B,0)),"Kod yok"))</f>
        <v/>
      </c>
      <c r="E274" s="19" t="str">
        <f aca="false">IF($B274="","",IFERROR(INDEX(Madde_Listesi!$D:$D,MATCH($B274,Madde_Listesi!$B:$B,0)),"Kod yok"))</f>
        <v/>
      </c>
      <c r="F274" s="19" t="str">
        <f aca="false">IF($B274="","",IFERROR(INDEX(Madde_Listesi!$E:$E,MATCH($B274,Madde_Listesi!$B:$B,0)),"Kod yok"))</f>
        <v/>
      </c>
      <c r="G274" s="19" t="str">
        <f aca="false">IF($B274="","",IFERROR(INDEX(Madde_Listesi!$F:$F,MATCH($B274,Madde_Listesi!$B:$B,0)),"Kod yok"))</f>
        <v/>
      </c>
      <c r="H274" s="19" t="str">
        <f aca="false">IF($A274="","",IFERROR(INDEX(Denetimler!$C:$C,MATCH($A274,Denetimler!$A:$A,0)),"No yok"))</f>
        <v/>
      </c>
      <c r="I274" s="19" t="str">
        <f aca="false">IF($A274="","",IFERROR(INDEX(Denetimler!$D:$D,MATCH($A274,Denetimler!$A:$A,0)),"No yok"))</f>
        <v/>
      </c>
      <c r="J274" s="19" t="str">
        <f aca="false">IF($A274="","",IFERROR(INDEX(Denetimler!$E:$E,MATCH($A274,Denetimler!$A:$A,0)),"No yok"))</f>
        <v/>
      </c>
      <c r="K274" s="25" t="str">
        <f aca="false">IF($A274="","",IFERROR(INDEX(Denetimler!$B:$B,MATCH($A274,Denetimler!$A:$A,0)),"No yok"))</f>
        <v/>
      </c>
    </row>
    <row r="275" customFormat="false" ht="15" hidden="false" customHeight="false" outlineLevel="0" collapsed="false">
      <c r="D275" s="19" t="str">
        <f aca="false">IF($B275="","",IFERROR(INDEX(Madde_Listesi!$C:$C,MATCH($B275,Madde_Listesi!$B:$B,0)),"Kod yok"))</f>
        <v/>
      </c>
      <c r="E275" s="19" t="str">
        <f aca="false">IF($B275="","",IFERROR(INDEX(Madde_Listesi!$D:$D,MATCH($B275,Madde_Listesi!$B:$B,0)),"Kod yok"))</f>
        <v/>
      </c>
      <c r="F275" s="19" t="str">
        <f aca="false">IF($B275="","",IFERROR(INDEX(Madde_Listesi!$E:$E,MATCH($B275,Madde_Listesi!$B:$B,0)),"Kod yok"))</f>
        <v/>
      </c>
      <c r="G275" s="19" t="str">
        <f aca="false">IF($B275="","",IFERROR(INDEX(Madde_Listesi!$F:$F,MATCH($B275,Madde_Listesi!$B:$B,0)),"Kod yok"))</f>
        <v/>
      </c>
      <c r="H275" s="19" t="str">
        <f aca="false">IF($A275="","",IFERROR(INDEX(Denetimler!$C:$C,MATCH($A275,Denetimler!$A:$A,0)),"No yok"))</f>
        <v/>
      </c>
      <c r="I275" s="19" t="str">
        <f aca="false">IF($A275="","",IFERROR(INDEX(Denetimler!$D:$D,MATCH($A275,Denetimler!$A:$A,0)),"No yok"))</f>
        <v/>
      </c>
      <c r="J275" s="19" t="str">
        <f aca="false">IF($A275="","",IFERROR(INDEX(Denetimler!$E:$E,MATCH($A275,Denetimler!$A:$A,0)),"No yok"))</f>
        <v/>
      </c>
      <c r="K275" s="25" t="str">
        <f aca="false">IF($A275="","",IFERROR(INDEX(Denetimler!$B:$B,MATCH($A275,Denetimler!$A:$A,0)),"No yok"))</f>
        <v/>
      </c>
    </row>
    <row r="276" customFormat="false" ht="15" hidden="false" customHeight="false" outlineLevel="0" collapsed="false">
      <c r="D276" s="19" t="str">
        <f aca="false">IF($B276="","",IFERROR(INDEX(Madde_Listesi!$C:$C,MATCH($B276,Madde_Listesi!$B:$B,0)),"Kod yok"))</f>
        <v/>
      </c>
      <c r="E276" s="19" t="str">
        <f aca="false">IF($B276="","",IFERROR(INDEX(Madde_Listesi!$D:$D,MATCH($B276,Madde_Listesi!$B:$B,0)),"Kod yok"))</f>
        <v/>
      </c>
      <c r="F276" s="19" t="str">
        <f aca="false">IF($B276="","",IFERROR(INDEX(Madde_Listesi!$E:$E,MATCH($B276,Madde_Listesi!$B:$B,0)),"Kod yok"))</f>
        <v/>
      </c>
      <c r="G276" s="19" t="str">
        <f aca="false">IF($B276="","",IFERROR(INDEX(Madde_Listesi!$F:$F,MATCH($B276,Madde_Listesi!$B:$B,0)),"Kod yok"))</f>
        <v/>
      </c>
      <c r="H276" s="19" t="str">
        <f aca="false">IF($A276="","",IFERROR(INDEX(Denetimler!$C:$C,MATCH($A276,Denetimler!$A:$A,0)),"No yok"))</f>
        <v/>
      </c>
      <c r="I276" s="19" t="str">
        <f aca="false">IF($A276="","",IFERROR(INDEX(Denetimler!$D:$D,MATCH($A276,Denetimler!$A:$A,0)),"No yok"))</f>
        <v/>
      </c>
      <c r="J276" s="19" t="str">
        <f aca="false">IF($A276="","",IFERROR(INDEX(Denetimler!$E:$E,MATCH($A276,Denetimler!$A:$A,0)),"No yok"))</f>
        <v/>
      </c>
      <c r="K276" s="25" t="str">
        <f aca="false">IF($A276="","",IFERROR(INDEX(Denetimler!$B:$B,MATCH($A276,Denetimler!$A:$A,0)),"No yok"))</f>
        <v/>
      </c>
    </row>
    <row r="277" customFormat="false" ht="15" hidden="false" customHeight="false" outlineLevel="0" collapsed="false">
      <c r="D277" s="19" t="str">
        <f aca="false">IF($B277="","",IFERROR(INDEX(Madde_Listesi!$C:$C,MATCH($B277,Madde_Listesi!$B:$B,0)),"Kod yok"))</f>
        <v/>
      </c>
      <c r="E277" s="19" t="str">
        <f aca="false">IF($B277="","",IFERROR(INDEX(Madde_Listesi!$D:$D,MATCH($B277,Madde_Listesi!$B:$B,0)),"Kod yok"))</f>
        <v/>
      </c>
      <c r="F277" s="19" t="str">
        <f aca="false">IF($B277="","",IFERROR(INDEX(Madde_Listesi!$E:$E,MATCH($B277,Madde_Listesi!$B:$B,0)),"Kod yok"))</f>
        <v/>
      </c>
      <c r="G277" s="19" t="str">
        <f aca="false">IF($B277="","",IFERROR(INDEX(Madde_Listesi!$F:$F,MATCH($B277,Madde_Listesi!$B:$B,0)),"Kod yok"))</f>
        <v/>
      </c>
      <c r="H277" s="19" t="str">
        <f aca="false">IF($A277="","",IFERROR(INDEX(Denetimler!$C:$C,MATCH($A277,Denetimler!$A:$A,0)),"No yok"))</f>
        <v/>
      </c>
      <c r="I277" s="19" t="str">
        <f aca="false">IF($A277="","",IFERROR(INDEX(Denetimler!$D:$D,MATCH($A277,Denetimler!$A:$A,0)),"No yok"))</f>
        <v/>
      </c>
      <c r="J277" s="19" t="str">
        <f aca="false">IF($A277="","",IFERROR(INDEX(Denetimler!$E:$E,MATCH($A277,Denetimler!$A:$A,0)),"No yok"))</f>
        <v/>
      </c>
      <c r="K277" s="25" t="str">
        <f aca="false">IF($A277="","",IFERROR(INDEX(Denetimler!$B:$B,MATCH($A277,Denetimler!$A:$A,0)),"No yok"))</f>
        <v/>
      </c>
    </row>
    <row r="278" customFormat="false" ht="15" hidden="false" customHeight="false" outlineLevel="0" collapsed="false">
      <c r="D278" s="19" t="str">
        <f aca="false">IF($B278="","",IFERROR(INDEX(Madde_Listesi!$C:$C,MATCH($B278,Madde_Listesi!$B:$B,0)),"Kod yok"))</f>
        <v/>
      </c>
      <c r="E278" s="19" t="str">
        <f aca="false">IF($B278="","",IFERROR(INDEX(Madde_Listesi!$D:$D,MATCH($B278,Madde_Listesi!$B:$B,0)),"Kod yok"))</f>
        <v/>
      </c>
      <c r="F278" s="19" t="str">
        <f aca="false">IF($B278="","",IFERROR(INDEX(Madde_Listesi!$E:$E,MATCH($B278,Madde_Listesi!$B:$B,0)),"Kod yok"))</f>
        <v/>
      </c>
      <c r="G278" s="19" t="str">
        <f aca="false">IF($B278="","",IFERROR(INDEX(Madde_Listesi!$F:$F,MATCH($B278,Madde_Listesi!$B:$B,0)),"Kod yok"))</f>
        <v/>
      </c>
      <c r="H278" s="19" t="str">
        <f aca="false">IF($A278="","",IFERROR(INDEX(Denetimler!$C:$C,MATCH($A278,Denetimler!$A:$A,0)),"No yok"))</f>
        <v/>
      </c>
      <c r="I278" s="19" t="str">
        <f aca="false">IF($A278="","",IFERROR(INDEX(Denetimler!$D:$D,MATCH($A278,Denetimler!$A:$A,0)),"No yok"))</f>
        <v/>
      </c>
      <c r="J278" s="19" t="str">
        <f aca="false">IF($A278="","",IFERROR(INDEX(Denetimler!$E:$E,MATCH($A278,Denetimler!$A:$A,0)),"No yok"))</f>
        <v/>
      </c>
      <c r="K278" s="25" t="str">
        <f aca="false">IF($A278="","",IFERROR(INDEX(Denetimler!$B:$B,MATCH($A278,Denetimler!$A:$A,0)),"No yok"))</f>
        <v/>
      </c>
    </row>
    <row r="279" customFormat="false" ht="15" hidden="false" customHeight="false" outlineLevel="0" collapsed="false">
      <c r="D279" s="19" t="str">
        <f aca="false">IF($B279="","",IFERROR(INDEX(Madde_Listesi!$C:$C,MATCH($B279,Madde_Listesi!$B:$B,0)),"Kod yok"))</f>
        <v/>
      </c>
      <c r="E279" s="19" t="str">
        <f aca="false">IF($B279="","",IFERROR(INDEX(Madde_Listesi!$D:$D,MATCH($B279,Madde_Listesi!$B:$B,0)),"Kod yok"))</f>
        <v/>
      </c>
      <c r="F279" s="19" t="str">
        <f aca="false">IF($B279="","",IFERROR(INDEX(Madde_Listesi!$E:$E,MATCH($B279,Madde_Listesi!$B:$B,0)),"Kod yok"))</f>
        <v/>
      </c>
      <c r="G279" s="19" t="str">
        <f aca="false">IF($B279="","",IFERROR(INDEX(Madde_Listesi!$F:$F,MATCH($B279,Madde_Listesi!$B:$B,0)),"Kod yok"))</f>
        <v/>
      </c>
      <c r="H279" s="19" t="str">
        <f aca="false">IF($A279="","",IFERROR(INDEX(Denetimler!$C:$C,MATCH($A279,Denetimler!$A:$A,0)),"No yok"))</f>
        <v/>
      </c>
      <c r="I279" s="19" t="str">
        <f aca="false">IF($A279="","",IFERROR(INDEX(Denetimler!$D:$D,MATCH($A279,Denetimler!$A:$A,0)),"No yok"))</f>
        <v/>
      </c>
      <c r="J279" s="19" t="str">
        <f aca="false">IF($A279="","",IFERROR(INDEX(Denetimler!$E:$E,MATCH($A279,Denetimler!$A:$A,0)),"No yok"))</f>
        <v/>
      </c>
      <c r="K279" s="25" t="str">
        <f aca="false">IF($A279="","",IFERROR(INDEX(Denetimler!$B:$B,MATCH($A279,Denetimler!$A:$A,0)),"No yok"))</f>
        <v/>
      </c>
    </row>
    <row r="280" customFormat="false" ht="15" hidden="false" customHeight="false" outlineLevel="0" collapsed="false">
      <c r="D280" s="19" t="str">
        <f aca="false">IF($B280="","",IFERROR(INDEX(Madde_Listesi!$C:$C,MATCH($B280,Madde_Listesi!$B:$B,0)),"Kod yok"))</f>
        <v/>
      </c>
      <c r="E280" s="19" t="str">
        <f aca="false">IF($B280="","",IFERROR(INDEX(Madde_Listesi!$D:$D,MATCH($B280,Madde_Listesi!$B:$B,0)),"Kod yok"))</f>
        <v/>
      </c>
      <c r="F280" s="19" t="str">
        <f aca="false">IF($B280="","",IFERROR(INDEX(Madde_Listesi!$E:$E,MATCH($B280,Madde_Listesi!$B:$B,0)),"Kod yok"))</f>
        <v/>
      </c>
      <c r="G280" s="19" t="str">
        <f aca="false">IF($B280="","",IFERROR(INDEX(Madde_Listesi!$F:$F,MATCH($B280,Madde_Listesi!$B:$B,0)),"Kod yok"))</f>
        <v/>
      </c>
      <c r="H280" s="19" t="str">
        <f aca="false">IF($A280="","",IFERROR(INDEX(Denetimler!$C:$C,MATCH($A280,Denetimler!$A:$A,0)),"No yok"))</f>
        <v/>
      </c>
      <c r="I280" s="19" t="str">
        <f aca="false">IF($A280="","",IFERROR(INDEX(Denetimler!$D:$D,MATCH($A280,Denetimler!$A:$A,0)),"No yok"))</f>
        <v/>
      </c>
      <c r="J280" s="19" t="str">
        <f aca="false">IF($A280="","",IFERROR(INDEX(Denetimler!$E:$E,MATCH($A280,Denetimler!$A:$A,0)),"No yok"))</f>
        <v/>
      </c>
      <c r="K280" s="25" t="str">
        <f aca="false">IF($A280="","",IFERROR(INDEX(Denetimler!$B:$B,MATCH($A280,Denetimler!$A:$A,0)),"No yok"))</f>
        <v/>
      </c>
    </row>
    <row r="281" customFormat="false" ht="15" hidden="false" customHeight="false" outlineLevel="0" collapsed="false">
      <c r="D281" s="19" t="str">
        <f aca="false">IF($B281="","",IFERROR(INDEX(Madde_Listesi!$C:$C,MATCH($B281,Madde_Listesi!$B:$B,0)),"Kod yok"))</f>
        <v/>
      </c>
      <c r="E281" s="19" t="str">
        <f aca="false">IF($B281="","",IFERROR(INDEX(Madde_Listesi!$D:$D,MATCH($B281,Madde_Listesi!$B:$B,0)),"Kod yok"))</f>
        <v/>
      </c>
      <c r="F281" s="19" t="str">
        <f aca="false">IF($B281="","",IFERROR(INDEX(Madde_Listesi!$E:$E,MATCH($B281,Madde_Listesi!$B:$B,0)),"Kod yok"))</f>
        <v/>
      </c>
      <c r="G281" s="19" t="str">
        <f aca="false">IF($B281="","",IFERROR(INDEX(Madde_Listesi!$F:$F,MATCH($B281,Madde_Listesi!$B:$B,0)),"Kod yok"))</f>
        <v/>
      </c>
      <c r="H281" s="19" t="str">
        <f aca="false">IF($A281="","",IFERROR(INDEX(Denetimler!$C:$C,MATCH($A281,Denetimler!$A:$A,0)),"No yok"))</f>
        <v/>
      </c>
      <c r="I281" s="19" t="str">
        <f aca="false">IF($A281="","",IFERROR(INDEX(Denetimler!$D:$D,MATCH($A281,Denetimler!$A:$A,0)),"No yok"))</f>
        <v/>
      </c>
      <c r="J281" s="19" t="str">
        <f aca="false">IF($A281="","",IFERROR(INDEX(Denetimler!$E:$E,MATCH($A281,Denetimler!$A:$A,0)),"No yok"))</f>
        <v/>
      </c>
      <c r="K281" s="25" t="str">
        <f aca="false">IF($A281="","",IFERROR(INDEX(Denetimler!$B:$B,MATCH($A281,Denetimler!$A:$A,0)),"No yok"))</f>
        <v/>
      </c>
    </row>
    <row r="282" customFormat="false" ht="15" hidden="false" customHeight="false" outlineLevel="0" collapsed="false">
      <c r="D282" s="19" t="str">
        <f aca="false">IF($B282="","",IFERROR(INDEX(Madde_Listesi!$C:$C,MATCH($B282,Madde_Listesi!$B:$B,0)),"Kod yok"))</f>
        <v/>
      </c>
      <c r="E282" s="19" t="str">
        <f aca="false">IF($B282="","",IFERROR(INDEX(Madde_Listesi!$D:$D,MATCH($B282,Madde_Listesi!$B:$B,0)),"Kod yok"))</f>
        <v/>
      </c>
      <c r="F282" s="19" t="str">
        <f aca="false">IF($B282="","",IFERROR(INDEX(Madde_Listesi!$E:$E,MATCH($B282,Madde_Listesi!$B:$B,0)),"Kod yok"))</f>
        <v/>
      </c>
      <c r="G282" s="19" t="str">
        <f aca="false">IF($B282="","",IFERROR(INDEX(Madde_Listesi!$F:$F,MATCH($B282,Madde_Listesi!$B:$B,0)),"Kod yok"))</f>
        <v/>
      </c>
      <c r="H282" s="19" t="str">
        <f aca="false">IF($A282="","",IFERROR(INDEX(Denetimler!$C:$C,MATCH($A282,Denetimler!$A:$A,0)),"No yok"))</f>
        <v/>
      </c>
      <c r="I282" s="19" t="str">
        <f aca="false">IF($A282="","",IFERROR(INDEX(Denetimler!$D:$D,MATCH($A282,Denetimler!$A:$A,0)),"No yok"))</f>
        <v/>
      </c>
      <c r="J282" s="19" t="str">
        <f aca="false">IF($A282="","",IFERROR(INDEX(Denetimler!$E:$E,MATCH($A282,Denetimler!$A:$A,0)),"No yok"))</f>
        <v/>
      </c>
      <c r="K282" s="25" t="str">
        <f aca="false">IF($A282="","",IFERROR(INDEX(Denetimler!$B:$B,MATCH($A282,Denetimler!$A:$A,0)),"No yok"))</f>
        <v/>
      </c>
    </row>
    <row r="283" customFormat="false" ht="15" hidden="false" customHeight="false" outlineLevel="0" collapsed="false">
      <c r="D283" s="19" t="str">
        <f aca="false">IF($B283="","",IFERROR(INDEX(Madde_Listesi!$C:$C,MATCH($B283,Madde_Listesi!$B:$B,0)),"Kod yok"))</f>
        <v/>
      </c>
      <c r="E283" s="19" t="str">
        <f aca="false">IF($B283="","",IFERROR(INDEX(Madde_Listesi!$D:$D,MATCH($B283,Madde_Listesi!$B:$B,0)),"Kod yok"))</f>
        <v/>
      </c>
      <c r="F283" s="19" t="str">
        <f aca="false">IF($B283="","",IFERROR(INDEX(Madde_Listesi!$E:$E,MATCH($B283,Madde_Listesi!$B:$B,0)),"Kod yok"))</f>
        <v/>
      </c>
      <c r="G283" s="19" t="str">
        <f aca="false">IF($B283="","",IFERROR(INDEX(Madde_Listesi!$F:$F,MATCH($B283,Madde_Listesi!$B:$B,0)),"Kod yok"))</f>
        <v/>
      </c>
      <c r="H283" s="19" t="str">
        <f aca="false">IF($A283="","",IFERROR(INDEX(Denetimler!$C:$C,MATCH($A283,Denetimler!$A:$A,0)),"No yok"))</f>
        <v/>
      </c>
      <c r="I283" s="19" t="str">
        <f aca="false">IF($A283="","",IFERROR(INDEX(Denetimler!$D:$D,MATCH($A283,Denetimler!$A:$A,0)),"No yok"))</f>
        <v/>
      </c>
      <c r="J283" s="19" t="str">
        <f aca="false">IF($A283="","",IFERROR(INDEX(Denetimler!$E:$E,MATCH($A283,Denetimler!$A:$A,0)),"No yok"))</f>
        <v/>
      </c>
      <c r="K283" s="25" t="str">
        <f aca="false">IF($A283="","",IFERROR(INDEX(Denetimler!$B:$B,MATCH($A283,Denetimler!$A:$A,0)),"No yok"))</f>
        <v/>
      </c>
    </row>
    <row r="284" customFormat="false" ht="15" hidden="false" customHeight="false" outlineLevel="0" collapsed="false">
      <c r="D284" s="19" t="str">
        <f aca="false">IF($B284="","",IFERROR(INDEX(Madde_Listesi!$C:$C,MATCH($B284,Madde_Listesi!$B:$B,0)),"Kod yok"))</f>
        <v/>
      </c>
      <c r="E284" s="19" t="str">
        <f aca="false">IF($B284="","",IFERROR(INDEX(Madde_Listesi!$D:$D,MATCH($B284,Madde_Listesi!$B:$B,0)),"Kod yok"))</f>
        <v/>
      </c>
      <c r="F284" s="19" t="str">
        <f aca="false">IF($B284="","",IFERROR(INDEX(Madde_Listesi!$E:$E,MATCH($B284,Madde_Listesi!$B:$B,0)),"Kod yok"))</f>
        <v/>
      </c>
      <c r="G284" s="19" t="str">
        <f aca="false">IF($B284="","",IFERROR(INDEX(Madde_Listesi!$F:$F,MATCH($B284,Madde_Listesi!$B:$B,0)),"Kod yok"))</f>
        <v/>
      </c>
      <c r="H284" s="19" t="str">
        <f aca="false">IF($A284="","",IFERROR(INDEX(Denetimler!$C:$C,MATCH($A284,Denetimler!$A:$A,0)),"No yok"))</f>
        <v/>
      </c>
      <c r="I284" s="19" t="str">
        <f aca="false">IF($A284="","",IFERROR(INDEX(Denetimler!$D:$D,MATCH($A284,Denetimler!$A:$A,0)),"No yok"))</f>
        <v/>
      </c>
      <c r="J284" s="19" t="str">
        <f aca="false">IF($A284="","",IFERROR(INDEX(Denetimler!$E:$E,MATCH($A284,Denetimler!$A:$A,0)),"No yok"))</f>
        <v/>
      </c>
      <c r="K284" s="25" t="str">
        <f aca="false">IF($A284="","",IFERROR(INDEX(Denetimler!$B:$B,MATCH($A284,Denetimler!$A:$A,0)),"No yok"))</f>
        <v/>
      </c>
    </row>
    <row r="285" customFormat="false" ht="15" hidden="false" customHeight="false" outlineLevel="0" collapsed="false">
      <c r="D285" s="19" t="str">
        <f aca="false">IF($B285="","",IFERROR(INDEX(Madde_Listesi!$C:$C,MATCH($B285,Madde_Listesi!$B:$B,0)),"Kod yok"))</f>
        <v/>
      </c>
      <c r="E285" s="19" t="str">
        <f aca="false">IF($B285="","",IFERROR(INDEX(Madde_Listesi!$D:$D,MATCH($B285,Madde_Listesi!$B:$B,0)),"Kod yok"))</f>
        <v/>
      </c>
      <c r="F285" s="19" t="str">
        <f aca="false">IF($B285="","",IFERROR(INDEX(Madde_Listesi!$E:$E,MATCH($B285,Madde_Listesi!$B:$B,0)),"Kod yok"))</f>
        <v/>
      </c>
      <c r="G285" s="19" t="str">
        <f aca="false">IF($B285="","",IFERROR(INDEX(Madde_Listesi!$F:$F,MATCH($B285,Madde_Listesi!$B:$B,0)),"Kod yok"))</f>
        <v/>
      </c>
      <c r="H285" s="19" t="str">
        <f aca="false">IF($A285="","",IFERROR(INDEX(Denetimler!$C:$C,MATCH($A285,Denetimler!$A:$A,0)),"No yok"))</f>
        <v/>
      </c>
      <c r="I285" s="19" t="str">
        <f aca="false">IF($A285="","",IFERROR(INDEX(Denetimler!$D:$D,MATCH($A285,Denetimler!$A:$A,0)),"No yok"))</f>
        <v/>
      </c>
      <c r="J285" s="19" t="str">
        <f aca="false">IF($A285="","",IFERROR(INDEX(Denetimler!$E:$E,MATCH($A285,Denetimler!$A:$A,0)),"No yok"))</f>
        <v/>
      </c>
      <c r="K285" s="25" t="str">
        <f aca="false">IF($A285="","",IFERROR(INDEX(Denetimler!$B:$B,MATCH($A285,Denetimler!$A:$A,0)),"No yok"))</f>
        <v/>
      </c>
    </row>
    <row r="286" customFormat="false" ht="15" hidden="false" customHeight="false" outlineLevel="0" collapsed="false">
      <c r="D286" s="19" t="str">
        <f aca="false">IF($B286="","",IFERROR(INDEX(Madde_Listesi!$C:$C,MATCH($B286,Madde_Listesi!$B:$B,0)),"Kod yok"))</f>
        <v/>
      </c>
      <c r="E286" s="19" t="str">
        <f aca="false">IF($B286="","",IFERROR(INDEX(Madde_Listesi!$D:$D,MATCH($B286,Madde_Listesi!$B:$B,0)),"Kod yok"))</f>
        <v/>
      </c>
      <c r="F286" s="19" t="str">
        <f aca="false">IF($B286="","",IFERROR(INDEX(Madde_Listesi!$E:$E,MATCH($B286,Madde_Listesi!$B:$B,0)),"Kod yok"))</f>
        <v/>
      </c>
      <c r="G286" s="19" t="str">
        <f aca="false">IF($B286="","",IFERROR(INDEX(Madde_Listesi!$F:$F,MATCH($B286,Madde_Listesi!$B:$B,0)),"Kod yok"))</f>
        <v/>
      </c>
      <c r="H286" s="19" t="str">
        <f aca="false">IF($A286="","",IFERROR(INDEX(Denetimler!$C:$C,MATCH($A286,Denetimler!$A:$A,0)),"No yok"))</f>
        <v/>
      </c>
      <c r="I286" s="19" t="str">
        <f aca="false">IF($A286="","",IFERROR(INDEX(Denetimler!$D:$D,MATCH($A286,Denetimler!$A:$A,0)),"No yok"))</f>
        <v/>
      </c>
      <c r="J286" s="19" t="str">
        <f aca="false">IF($A286="","",IFERROR(INDEX(Denetimler!$E:$E,MATCH($A286,Denetimler!$A:$A,0)),"No yok"))</f>
        <v/>
      </c>
      <c r="K286" s="25" t="str">
        <f aca="false">IF($A286="","",IFERROR(INDEX(Denetimler!$B:$B,MATCH($A286,Denetimler!$A:$A,0)),"No yok"))</f>
        <v/>
      </c>
    </row>
    <row r="287" customFormat="false" ht="15" hidden="false" customHeight="false" outlineLevel="0" collapsed="false">
      <c r="D287" s="19" t="str">
        <f aca="false">IF($B287="","",IFERROR(INDEX(Madde_Listesi!$C:$C,MATCH($B287,Madde_Listesi!$B:$B,0)),"Kod yok"))</f>
        <v/>
      </c>
      <c r="E287" s="19" t="str">
        <f aca="false">IF($B287="","",IFERROR(INDEX(Madde_Listesi!$D:$D,MATCH($B287,Madde_Listesi!$B:$B,0)),"Kod yok"))</f>
        <v/>
      </c>
      <c r="F287" s="19" t="str">
        <f aca="false">IF($B287="","",IFERROR(INDEX(Madde_Listesi!$E:$E,MATCH($B287,Madde_Listesi!$B:$B,0)),"Kod yok"))</f>
        <v/>
      </c>
      <c r="G287" s="19" t="str">
        <f aca="false">IF($B287="","",IFERROR(INDEX(Madde_Listesi!$F:$F,MATCH($B287,Madde_Listesi!$B:$B,0)),"Kod yok"))</f>
        <v/>
      </c>
      <c r="H287" s="19" t="str">
        <f aca="false">IF($A287="","",IFERROR(INDEX(Denetimler!$C:$C,MATCH($A287,Denetimler!$A:$A,0)),"No yok"))</f>
        <v/>
      </c>
      <c r="I287" s="19" t="str">
        <f aca="false">IF($A287="","",IFERROR(INDEX(Denetimler!$D:$D,MATCH($A287,Denetimler!$A:$A,0)),"No yok"))</f>
        <v/>
      </c>
      <c r="J287" s="19" t="str">
        <f aca="false">IF($A287="","",IFERROR(INDEX(Denetimler!$E:$E,MATCH($A287,Denetimler!$A:$A,0)),"No yok"))</f>
        <v/>
      </c>
      <c r="K287" s="25" t="str">
        <f aca="false">IF($A287="","",IFERROR(INDEX(Denetimler!$B:$B,MATCH($A287,Denetimler!$A:$A,0)),"No yok"))</f>
        <v/>
      </c>
    </row>
    <row r="288" customFormat="false" ht="15" hidden="false" customHeight="false" outlineLevel="0" collapsed="false">
      <c r="D288" s="19" t="str">
        <f aca="false">IF($B288="","",IFERROR(INDEX(Madde_Listesi!$C:$C,MATCH($B288,Madde_Listesi!$B:$B,0)),"Kod yok"))</f>
        <v/>
      </c>
      <c r="E288" s="19" t="str">
        <f aca="false">IF($B288="","",IFERROR(INDEX(Madde_Listesi!$D:$D,MATCH($B288,Madde_Listesi!$B:$B,0)),"Kod yok"))</f>
        <v/>
      </c>
      <c r="F288" s="19" t="str">
        <f aca="false">IF($B288="","",IFERROR(INDEX(Madde_Listesi!$E:$E,MATCH($B288,Madde_Listesi!$B:$B,0)),"Kod yok"))</f>
        <v/>
      </c>
      <c r="G288" s="19" t="str">
        <f aca="false">IF($B288="","",IFERROR(INDEX(Madde_Listesi!$F:$F,MATCH($B288,Madde_Listesi!$B:$B,0)),"Kod yok"))</f>
        <v/>
      </c>
      <c r="H288" s="19" t="str">
        <f aca="false">IF($A288="","",IFERROR(INDEX(Denetimler!$C:$C,MATCH($A288,Denetimler!$A:$A,0)),"No yok"))</f>
        <v/>
      </c>
      <c r="I288" s="19" t="str">
        <f aca="false">IF($A288="","",IFERROR(INDEX(Denetimler!$D:$D,MATCH($A288,Denetimler!$A:$A,0)),"No yok"))</f>
        <v/>
      </c>
      <c r="J288" s="19" t="str">
        <f aca="false">IF($A288="","",IFERROR(INDEX(Denetimler!$E:$E,MATCH($A288,Denetimler!$A:$A,0)),"No yok"))</f>
        <v/>
      </c>
      <c r="K288" s="25" t="str">
        <f aca="false">IF($A288="","",IFERROR(INDEX(Denetimler!$B:$B,MATCH($A288,Denetimler!$A:$A,0)),"No yok"))</f>
        <v/>
      </c>
    </row>
    <row r="289" customFormat="false" ht="15" hidden="false" customHeight="false" outlineLevel="0" collapsed="false">
      <c r="D289" s="19" t="str">
        <f aca="false">IF($B289="","",IFERROR(INDEX(Madde_Listesi!$C:$C,MATCH($B289,Madde_Listesi!$B:$B,0)),"Kod yok"))</f>
        <v/>
      </c>
      <c r="E289" s="19" t="str">
        <f aca="false">IF($B289="","",IFERROR(INDEX(Madde_Listesi!$D:$D,MATCH($B289,Madde_Listesi!$B:$B,0)),"Kod yok"))</f>
        <v/>
      </c>
      <c r="F289" s="19" t="str">
        <f aca="false">IF($B289="","",IFERROR(INDEX(Madde_Listesi!$E:$E,MATCH($B289,Madde_Listesi!$B:$B,0)),"Kod yok"))</f>
        <v/>
      </c>
      <c r="G289" s="19" t="str">
        <f aca="false">IF($B289="","",IFERROR(INDEX(Madde_Listesi!$F:$F,MATCH($B289,Madde_Listesi!$B:$B,0)),"Kod yok"))</f>
        <v/>
      </c>
      <c r="H289" s="19" t="str">
        <f aca="false">IF($A289="","",IFERROR(INDEX(Denetimler!$C:$C,MATCH($A289,Denetimler!$A:$A,0)),"No yok"))</f>
        <v/>
      </c>
      <c r="I289" s="19" t="str">
        <f aca="false">IF($A289="","",IFERROR(INDEX(Denetimler!$D:$D,MATCH($A289,Denetimler!$A:$A,0)),"No yok"))</f>
        <v/>
      </c>
      <c r="J289" s="19" t="str">
        <f aca="false">IF($A289="","",IFERROR(INDEX(Denetimler!$E:$E,MATCH($A289,Denetimler!$A:$A,0)),"No yok"))</f>
        <v/>
      </c>
      <c r="K289" s="25" t="str">
        <f aca="false">IF($A289="","",IFERROR(INDEX(Denetimler!$B:$B,MATCH($A289,Denetimler!$A:$A,0)),"No yok"))</f>
        <v/>
      </c>
    </row>
    <row r="290" customFormat="false" ht="15" hidden="false" customHeight="false" outlineLevel="0" collapsed="false">
      <c r="D290" s="19" t="str">
        <f aca="false">IF($B290="","",IFERROR(INDEX(Madde_Listesi!$C:$C,MATCH($B290,Madde_Listesi!$B:$B,0)),"Kod yok"))</f>
        <v/>
      </c>
      <c r="E290" s="19" t="str">
        <f aca="false">IF($B290="","",IFERROR(INDEX(Madde_Listesi!$D:$D,MATCH($B290,Madde_Listesi!$B:$B,0)),"Kod yok"))</f>
        <v/>
      </c>
      <c r="F290" s="19" t="str">
        <f aca="false">IF($B290="","",IFERROR(INDEX(Madde_Listesi!$E:$E,MATCH($B290,Madde_Listesi!$B:$B,0)),"Kod yok"))</f>
        <v/>
      </c>
      <c r="G290" s="19" t="str">
        <f aca="false">IF($B290="","",IFERROR(INDEX(Madde_Listesi!$F:$F,MATCH($B290,Madde_Listesi!$B:$B,0)),"Kod yok"))</f>
        <v/>
      </c>
      <c r="H290" s="19" t="str">
        <f aca="false">IF($A290="","",IFERROR(INDEX(Denetimler!$C:$C,MATCH($A290,Denetimler!$A:$A,0)),"No yok"))</f>
        <v/>
      </c>
      <c r="I290" s="19" t="str">
        <f aca="false">IF($A290="","",IFERROR(INDEX(Denetimler!$D:$D,MATCH($A290,Denetimler!$A:$A,0)),"No yok"))</f>
        <v/>
      </c>
      <c r="J290" s="19" t="str">
        <f aca="false">IF($A290="","",IFERROR(INDEX(Denetimler!$E:$E,MATCH($A290,Denetimler!$A:$A,0)),"No yok"))</f>
        <v/>
      </c>
      <c r="K290" s="25" t="str">
        <f aca="false">IF($A290="","",IFERROR(INDEX(Denetimler!$B:$B,MATCH($A290,Denetimler!$A:$A,0)),"No yok"))</f>
        <v/>
      </c>
    </row>
    <row r="291" customFormat="false" ht="15" hidden="false" customHeight="false" outlineLevel="0" collapsed="false">
      <c r="D291" s="19" t="str">
        <f aca="false">IF($B291="","",IFERROR(INDEX(Madde_Listesi!$C:$C,MATCH($B291,Madde_Listesi!$B:$B,0)),"Kod yok"))</f>
        <v/>
      </c>
      <c r="E291" s="19" t="str">
        <f aca="false">IF($B291="","",IFERROR(INDEX(Madde_Listesi!$D:$D,MATCH($B291,Madde_Listesi!$B:$B,0)),"Kod yok"))</f>
        <v/>
      </c>
      <c r="F291" s="19" t="str">
        <f aca="false">IF($B291="","",IFERROR(INDEX(Madde_Listesi!$E:$E,MATCH($B291,Madde_Listesi!$B:$B,0)),"Kod yok"))</f>
        <v/>
      </c>
      <c r="G291" s="19" t="str">
        <f aca="false">IF($B291="","",IFERROR(INDEX(Madde_Listesi!$F:$F,MATCH($B291,Madde_Listesi!$B:$B,0)),"Kod yok"))</f>
        <v/>
      </c>
      <c r="H291" s="19" t="str">
        <f aca="false">IF($A291="","",IFERROR(INDEX(Denetimler!$C:$C,MATCH($A291,Denetimler!$A:$A,0)),"No yok"))</f>
        <v/>
      </c>
      <c r="I291" s="19" t="str">
        <f aca="false">IF($A291="","",IFERROR(INDEX(Denetimler!$D:$D,MATCH($A291,Denetimler!$A:$A,0)),"No yok"))</f>
        <v/>
      </c>
      <c r="J291" s="19" t="str">
        <f aca="false">IF($A291="","",IFERROR(INDEX(Denetimler!$E:$E,MATCH($A291,Denetimler!$A:$A,0)),"No yok"))</f>
        <v/>
      </c>
      <c r="K291" s="25" t="str">
        <f aca="false">IF($A291="","",IFERROR(INDEX(Denetimler!$B:$B,MATCH($A291,Denetimler!$A:$A,0)),"No yok"))</f>
        <v/>
      </c>
    </row>
    <row r="292" customFormat="false" ht="15" hidden="false" customHeight="false" outlineLevel="0" collapsed="false">
      <c r="D292" s="19" t="str">
        <f aca="false">IF($B292="","",IFERROR(INDEX(Madde_Listesi!$C:$C,MATCH($B292,Madde_Listesi!$B:$B,0)),"Kod yok"))</f>
        <v/>
      </c>
      <c r="E292" s="19" t="str">
        <f aca="false">IF($B292="","",IFERROR(INDEX(Madde_Listesi!$D:$D,MATCH($B292,Madde_Listesi!$B:$B,0)),"Kod yok"))</f>
        <v/>
      </c>
      <c r="F292" s="19" t="str">
        <f aca="false">IF($B292="","",IFERROR(INDEX(Madde_Listesi!$E:$E,MATCH($B292,Madde_Listesi!$B:$B,0)),"Kod yok"))</f>
        <v/>
      </c>
      <c r="G292" s="19" t="str">
        <f aca="false">IF($B292="","",IFERROR(INDEX(Madde_Listesi!$F:$F,MATCH($B292,Madde_Listesi!$B:$B,0)),"Kod yok"))</f>
        <v/>
      </c>
      <c r="H292" s="19" t="str">
        <f aca="false">IF($A292="","",IFERROR(INDEX(Denetimler!$C:$C,MATCH($A292,Denetimler!$A:$A,0)),"No yok"))</f>
        <v/>
      </c>
      <c r="I292" s="19" t="str">
        <f aca="false">IF($A292="","",IFERROR(INDEX(Denetimler!$D:$D,MATCH($A292,Denetimler!$A:$A,0)),"No yok"))</f>
        <v/>
      </c>
      <c r="J292" s="19" t="str">
        <f aca="false">IF($A292="","",IFERROR(INDEX(Denetimler!$E:$E,MATCH($A292,Denetimler!$A:$A,0)),"No yok"))</f>
        <v/>
      </c>
      <c r="K292" s="25" t="str">
        <f aca="false">IF($A292="","",IFERROR(INDEX(Denetimler!$B:$B,MATCH($A292,Denetimler!$A:$A,0)),"No yok"))</f>
        <v/>
      </c>
    </row>
    <row r="293" customFormat="false" ht="15" hidden="false" customHeight="false" outlineLevel="0" collapsed="false">
      <c r="D293" s="19" t="str">
        <f aca="false">IF($B293="","",IFERROR(INDEX(Madde_Listesi!$C:$C,MATCH($B293,Madde_Listesi!$B:$B,0)),"Kod yok"))</f>
        <v/>
      </c>
      <c r="E293" s="19" t="str">
        <f aca="false">IF($B293="","",IFERROR(INDEX(Madde_Listesi!$D:$D,MATCH($B293,Madde_Listesi!$B:$B,0)),"Kod yok"))</f>
        <v/>
      </c>
      <c r="F293" s="19" t="str">
        <f aca="false">IF($B293="","",IFERROR(INDEX(Madde_Listesi!$E:$E,MATCH($B293,Madde_Listesi!$B:$B,0)),"Kod yok"))</f>
        <v/>
      </c>
      <c r="G293" s="19" t="str">
        <f aca="false">IF($B293="","",IFERROR(INDEX(Madde_Listesi!$F:$F,MATCH($B293,Madde_Listesi!$B:$B,0)),"Kod yok"))</f>
        <v/>
      </c>
      <c r="H293" s="19" t="str">
        <f aca="false">IF($A293="","",IFERROR(INDEX(Denetimler!$C:$C,MATCH($A293,Denetimler!$A:$A,0)),"No yok"))</f>
        <v/>
      </c>
      <c r="I293" s="19" t="str">
        <f aca="false">IF($A293="","",IFERROR(INDEX(Denetimler!$D:$D,MATCH($A293,Denetimler!$A:$A,0)),"No yok"))</f>
        <v/>
      </c>
      <c r="J293" s="19" t="str">
        <f aca="false">IF($A293="","",IFERROR(INDEX(Denetimler!$E:$E,MATCH($A293,Denetimler!$A:$A,0)),"No yok"))</f>
        <v/>
      </c>
      <c r="K293" s="25" t="str">
        <f aca="false">IF($A293="","",IFERROR(INDEX(Denetimler!$B:$B,MATCH($A293,Denetimler!$A:$A,0)),"No yok"))</f>
        <v/>
      </c>
    </row>
    <row r="294" customFormat="false" ht="15" hidden="false" customHeight="false" outlineLevel="0" collapsed="false">
      <c r="D294" s="19" t="str">
        <f aca="false">IF($B294="","",IFERROR(INDEX(Madde_Listesi!$C:$C,MATCH($B294,Madde_Listesi!$B:$B,0)),"Kod yok"))</f>
        <v/>
      </c>
      <c r="E294" s="19" t="str">
        <f aca="false">IF($B294="","",IFERROR(INDEX(Madde_Listesi!$D:$D,MATCH($B294,Madde_Listesi!$B:$B,0)),"Kod yok"))</f>
        <v/>
      </c>
      <c r="F294" s="19" t="str">
        <f aca="false">IF($B294="","",IFERROR(INDEX(Madde_Listesi!$E:$E,MATCH($B294,Madde_Listesi!$B:$B,0)),"Kod yok"))</f>
        <v/>
      </c>
      <c r="G294" s="19" t="str">
        <f aca="false">IF($B294="","",IFERROR(INDEX(Madde_Listesi!$F:$F,MATCH($B294,Madde_Listesi!$B:$B,0)),"Kod yok"))</f>
        <v/>
      </c>
      <c r="H294" s="19" t="str">
        <f aca="false">IF($A294="","",IFERROR(INDEX(Denetimler!$C:$C,MATCH($A294,Denetimler!$A:$A,0)),"No yok"))</f>
        <v/>
      </c>
      <c r="I294" s="19" t="str">
        <f aca="false">IF($A294="","",IFERROR(INDEX(Denetimler!$D:$D,MATCH($A294,Denetimler!$A:$A,0)),"No yok"))</f>
        <v/>
      </c>
      <c r="J294" s="19" t="str">
        <f aca="false">IF($A294="","",IFERROR(INDEX(Denetimler!$E:$E,MATCH($A294,Denetimler!$A:$A,0)),"No yok"))</f>
        <v/>
      </c>
      <c r="K294" s="25" t="str">
        <f aca="false">IF($A294="","",IFERROR(INDEX(Denetimler!$B:$B,MATCH($A294,Denetimler!$A:$A,0)),"No yok"))</f>
        <v/>
      </c>
    </row>
    <row r="295" customFormat="false" ht="15" hidden="false" customHeight="false" outlineLevel="0" collapsed="false">
      <c r="D295" s="19" t="str">
        <f aca="false">IF($B295="","",IFERROR(INDEX(Madde_Listesi!$C:$C,MATCH($B295,Madde_Listesi!$B:$B,0)),"Kod yok"))</f>
        <v/>
      </c>
      <c r="E295" s="19" t="str">
        <f aca="false">IF($B295="","",IFERROR(INDEX(Madde_Listesi!$D:$D,MATCH($B295,Madde_Listesi!$B:$B,0)),"Kod yok"))</f>
        <v/>
      </c>
      <c r="F295" s="19" t="str">
        <f aca="false">IF($B295="","",IFERROR(INDEX(Madde_Listesi!$E:$E,MATCH($B295,Madde_Listesi!$B:$B,0)),"Kod yok"))</f>
        <v/>
      </c>
      <c r="G295" s="19" t="str">
        <f aca="false">IF($B295="","",IFERROR(INDEX(Madde_Listesi!$F:$F,MATCH($B295,Madde_Listesi!$B:$B,0)),"Kod yok"))</f>
        <v/>
      </c>
      <c r="H295" s="19" t="str">
        <f aca="false">IF($A295="","",IFERROR(INDEX(Denetimler!$C:$C,MATCH($A295,Denetimler!$A:$A,0)),"No yok"))</f>
        <v/>
      </c>
      <c r="I295" s="19" t="str">
        <f aca="false">IF($A295="","",IFERROR(INDEX(Denetimler!$D:$D,MATCH($A295,Denetimler!$A:$A,0)),"No yok"))</f>
        <v/>
      </c>
      <c r="J295" s="19" t="str">
        <f aca="false">IF($A295="","",IFERROR(INDEX(Denetimler!$E:$E,MATCH($A295,Denetimler!$A:$A,0)),"No yok"))</f>
        <v/>
      </c>
      <c r="K295" s="25" t="str">
        <f aca="false">IF($A295="","",IFERROR(INDEX(Denetimler!$B:$B,MATCH($A295,Denetimler!$A:$A,0)),"No yok"))</f>
        <v/>
      </c>
    </row>
    <row r="296" customFormat="false" ht="15" hidden="false" customHeight="false" outlineLevel="0" collapsed="false">
      <c r="D296" s="19" t="str">
        <f aca="false">IF($B296="","",IFERROR(INDEX(Madde_Listesi!$C:$C,MATCH($B296,Madde_Listesi!$B:$B,0)),"Kod yok"))</f>
        <v/>
      </c>
      <c r="E296" s="19" t="str">
        <f aca="false">IF($B296="","",IFERROR(INDEX(Madde_Listesi!$D:$D,MATCH($B296,Madde_Listesi!$B:$B,0)),"Kod yok"))</f>
        <v/>
      </c>
      <c r="F296" s="19" t="str">
        <f aca="false">IF($B296="","",IFERROR(INDEX(Madde_Listesi!$E:$E,MATCH($B296,Madde_Listesi!$B:$B,0)),"Kod yok"))</f>
        <v/>
      </c>
      <c r="G296" s="19" t="str">
        <f aca="false">IF($B296="","",IFERROR(INDEX(Madde_Listesi!$F:$F,MATCH($B296,Madde_Listesi!$B:$B,0)),"Kod yok"))</f>
        <v/>
      </c>
      <c r="H296" s="19" t="str">
        <f aca="false">IF($A296="","",IFERROR(INDEX(Denetimler!$C:$C,MATCH($A296,Denetimler!$A:$A,0)),"No yok"))</f>
        <v/>
      </c>
      <c r="I296" s="19" t="str">
        <f aca="false">IF($A296="","",IFERROR(INDEX(Denetimler!$D:$D,MATCH($A296,Denetimler!$A:$A,0)),"No yok"))</f>
        <v/>
      </c>
      <c r="J296" s="19" t="str">
        <f aca="false">IF($A296="","",IFERROR(INDEX(Denetimler!$E:$E,MATCH($A296,Denetimler!$A:$A,0)),"No yok"))</f>
        <v/>
      </c>
      <c r="K296" s="25" t="str">
        <f aca="false">IF($A296="","",IFERROR(INDEX(Denetimler!$B:$B,MATCH($A296,Denetimler!$A:$A,0)),"No yok"))</f>
        <v/>
      </c>
    </row>
    <row r="297" customFormat="false" ht="15" hidden="false" customHeight="false" outlineLevel="0" collapsed="false">
      <c r="D297" s="19" t="str">
        <f aca="false">IF($B297="","",IFERROR(INDEX(Madde_Listesi!$C:$C,MATCH($B297,Madde_Listesi!$B:$B,0)),"Kod yok"))</f>
        <v/>
      </c>
      <c r="E297" s="19" t="str">
        <f aca="false">IF($B297="","",IFERROR(INDEX(Madde_Listesi!$D:$D,MATCH($B297,Madde_Listesi!$B:$B,0)),"Kod yok"))</f>
        <v/>
      </c>
      <c r="F297" s="19" t="str">
        <f aca="false">IF($B297="","",IFERROR(INDEX(Madde_Listesi!$E:$E,MATCH($B297,Madde_Listesi!$B:$B,0)),"Kod yok"))</f>
        <v/>
      </c>
      <c r="G297" s="19" t="str">
        <f aca="false">IF($B297="","",IFERROR(INDEX(Madde_Listesi!$F:$F,MATCH($B297,Madde_Listesi!$B:$B,0)),"Kod yok"))</f>
        <v/>
      </c>
      <c r="H297" s="19" t="str">
        <f aca="false">IF($A297="","",IFERROR(INDEX(Denetimler!$C:$C,MATCH($A297,Denetimler!$A:$A,0)),"No yok"))</f>
        <v/>
      </c>
      <c r="I297" s="19" t="str">
        <f aca="false">IF($A297="","",IFERROR(INDEX(Denetimler!$D:$D,MATCH($A297,Denetimler!$A:$A,0)),"No yok"))</f>
        <v/>
      </c>
      <c r="J297" s="19" t="str">
        <f aca="false">IF($A297="","",IFERROR(INDEX(Denetimler!$E:$E,MATCH($A297,Denetimler!$A:$A,0)),"No yok"))</f>
        <v/>
      </c>
      <c r="K297" s="25" t="str">
        <f aca="false">IF($A297="","",IFERROR(INDEX(Denetimler!$B:$B,MATCH($A297,Denetimler!$A:$A,0)),"No yok"))</f>
        <v/>
      </c>
    </row>
    <row r="298" customFormat="false" ht="15" hidden="false" customHeight="false" outlineLevel="0" collapsed="false">
      <c r="D298" s="19" t="str">
        <f aca="false">IF($B298="","",IFERROR(INDEX(Madde_Listesi!$C:$C,MATCH($B298,Madde_Listesi!$B:$B,0)),"Kod yok"))</f>
        <v/>
      </c>
      <c r="E298" s="19" t="str">
        <f aca="false">IF($B298="","",IFERROR(INDEX(Madde_Listesi!$D:$D,MATCH($B298,Madde_Listesi!$B:$B,0)),"Kod yok"))</f>
        <v/>
      </c>
      <c r="F298" s="19" t="str">
        <f aca="false">IF($B298="","",IFERROR(INDEX(Madde_Listesi!$E:$E,MATCH($B298,Madde_Listesi!$B:$B,0)),"Kod yok"))</f>
        <v/>
      </c>
      <c r="G298" s="19" t="str">
        <f aca="false">IF($B298="","",IFERROR(INDEX(Madde_Listesi!$F:$F,MATCH($B298,Madde_Listesi!$B:$B,0)),"Kod yok"))</f>
        <v/>
      </c>
      <c r="H298" s="19" t="str">
        <f aca="false">IF($A298="","",IFERROR(INDEX(Denetimler!$C:$C,MATCH($A298,Denetimler!$A:$A,0)),"No yok"))</f>
        <v/>
      </c>
      <c r="I298" s="19" t="str">
        <f aca="false">IF($A298="","",IFERROR(INDEX(Denetimler!$D:$D,MATCH($A298,Denetimler!$A:$A,0)),"No yok"))</f>
        <v/>
      </c>
      <c r="J298" s="19" t="str">
        <f aca="false">IF($A298="","",IFERROR(INDEX(Denetimler!$E:$E,MATCH($A298,Denetimler!$A:$A,0)),"No yok"))</f>
        <v/>
      </c>
      <c r="K298" s="25" t="str">
        <f aca="false">IF($A298="","",IFERROR(INDEX(Denetimler!$B:$B,MATCH($A298,Denetimler!$A:$A,0)),"No yok"))</f>
        <v/>
      </c>
    </row>
    <row r="299" customFormat="false" ht="15" hidden="false" customHeight="false" outlineLevel="0" collapsed="false">
      <c r="D299" s="19" t="str">
        <f aca="false">IF($B299="","",IFERROR(INDEX(Madde_Listesi!$C:$C,MATCH($B299,Madde_Listesi!$B:$B,0)),"Kod yok"))</f>
        <v/>
      </c>
      <c r="E299" s="19" t="str">
        <f aca="false">IF($B299="","",IFERROR(INDEX(Madde_Listesi!$D:$D,MATCH($B299,Madde_Listesi!$B:$B,0)),"Kod yok"))</f>
        <v/>
      </c>
      <c r="F299" s="19" t="str">
        <f aca="false">IF($B299="","",IFERROR(INDEX(Madde_Listesi!$E:$E,MATCH($B299,Madde_Listesi!$B:$B,0)),"Kod yok"))</f>
        <v/>
      </c>
      <c r="G299" s="19" t="str">
        <f aca="false">IF($B299="","",IFERROR(INDEX(Madde_Listesi!$F:$F,MATCH($B299,Madde_Listesi!$B:$B,0)),"Kod yok"))</f>
        <v/>
      </c>
      <c r="H299" s="19" t="str">
        <f aca="false">IF($A299="","",IFERROR(INDEX(Denetimler!$C:$C,MATCH($A299,Denetimler!$A:$A,0)),"No yok"))</f>
        <v/>
      </c>
      <c r="I299" s="19" t="str">
        <f aca="false">IF($A299="","",IFERROR(INDEX(Denetimler!$D:$D,MATCH($A299,Denetimler!$A:$A,0)),"No yok"))</f>
        <v/>
      </c>
      <c r="J299" s="19" t="str">
        <f aca="false">IF($A299="","",IFERROR(INDEX(Denetimler!$E:$E,MATCH($A299,Denetimler!$A:$A,0)),"No yok"))</f>
        <v/>
      </c>
      <c r="K299" s="25" t="str">
        <f aca="false">IF($A299="","",IFERROR(INDEX(Denetimler!$B:$B,MATCH($A299,Denetimler!$A:$A,0)),"No yok"))</f>
        <v/>
      </c>
    </row>
    <row r="300" customFormat="false" ht="15" hidden="false" customHeight="false" outlineLevel="0" collapsed="false">
      <c r="D300" s="19" t="str">
        <f aca="false">IF($B300="","",IFERROR(INDEX(Madde_Listesi!$C:$C,MATCH($B300,Madde_Listesi!$B:$B,0)),"Kod yok"))</f>
        <v/>
      </c>
      <c r="E300" s="19" t="str">
        <f aca="false">IF($B300="","",IFERROR(INDEX(Madde_Listesi!$D:$D,MATCH($B300,Madde_Listesi!$B:$B,0)),"Kod yok"))</f>
        <v/>
      </c>
      <c r="F300" s="19" t="str">
        <f aca="false">IF($B300="","",IFERROR(INDEX(Madde_Listesi!$E:$E,MATCH($B300,Madde_Listesi!$B:$B,0)),"Kod yok"))</f>
        <v/>
      </c>
      <c r="G300" s="19" t="str">
        <f aca="false">IF($B300="","",IFERROR(INDEX(Madde_Listesi!$F:$F,MATCH($B300,Madde_Listesi!$B:$B,0)),"Kod yok"))</f>
        <v/>
      </c>
      <c r="H300" s="19" t="str">
        <f aca="false">IF($A300="","",IFERROR(INDEX(Denetimler!$C:$C,MATCH($A300,Denetimler!$A:$A,0)),"No yok"))</f>
        <v/>
      </c>
      <c r="I300" s="19" t="str">
        <f aca="false">IF($A300="","",IFERROR(INDEX(Denetimler!$D:$D,MATCH($A300,Denetimler!$A:$A,0)),"No yok"))</f>
        <v/>
      </c>
      <c r="J300" s="19" t="str">
        <f aca="false">IF($A300="","",IFERROR(INDEX(Denetimler!$E:$E,MATCH($A300,Denetimler!$A:$A,0)),"No yok"))</f>
        <v/>
      </c>
      <c r="K300" s="25" t="str">
        <f aca="false">IF($A300="","",IFERROR(INDEX(Denetimler!$B:$B,MATCH($A300,Denetimler!$A:$A,0)),"No yok"))</f>
        <v/>
      </c>
    </row>
    <row r="301" customFormat="false" ht="15" hidden="false" customHeight="false" outlineLevel="0" collapsed="false">
      <c r="D301" s="19" t="str">
        <f aca="false">IF($B301="","",IFERROR(INDEX(Madde_Listesi!$C:$C,MATCH($B301,Madde_Listesi!$B:$B,0)),"Kod yok"))</f>
        <v/>
      </c>
      <c r="E301" s="19" t="str">
        <f aca="false">IF($B301="","",IFERROR(INDEX(Madde_Listesi!$D:$D,MATCH($B301,Madde_Listesi!$B:$B,0)),"Kod yok"))</f>
        <v/>
      </c>
      <c r="F301" s="19" t="str">
        <f aca="false">IF($B301="","",IFERROR(INDEX(Madde_Listesi!$E:$E,MATCH($B301,Madde_Listesi!$B:$B,0)),"Kod yok"))</f>
        <v/>
      </c>
      <c r="G301" s="19" t="str">
        <f aca="false">IF($B301="","",IFERROR(INDEX(Madde_Listesi!$F:$F,MATCH($B301,Madde_Listesi!$B:$B,0)),"Kod yok"))</f>
        <v/>
      </c>
      <c r="H301" s="19" t="str">
        <f aca="false">IF($A301="","",IFERROR(INDEX(Denetimler!$C:$C,MATCH($A301,Denetimler!$A:$A,0)),"No yok"))</f>
        <v/>
      </c>
      <c r="I301" s="19" t="str">
        <f aca="false">IF($A301="","",IFERROR(INDEX(Denetimler!$D:$D,MATCH($A301,Denetimler!$A:$A,0)),"No yok"))</f>
        <v/>
      </c>
      <c r="J301" s="19" t="str">
        <f aca="false">IF($A301="","",IFERROR(INDEX(Denetimler!$E:$E,MATCH($A301,Denetimler!$A:$A,0)),"No yok"))</f>
        <v/>
      </c>
      <c r="K301" s="25" t="str">
        <f aca="false">IF($A301="","",IFERROR(INDEX(Denetimler!$B:$B,MATCH($A301,Denetimler!$A:$A,0)),"No yok"))</f>
        <v/>
      </c>
    </row>
    <row r="302" customFormat="false" ht="15" hidden="false" customHeight="false" outlineLevel="0" collapsed="false">
      <c r="D302" s="19" t="str">
        <f aca="false">IF($B302="","",IFERROR(INDEX(Madde_Listesi!$C:$C,MATCH($B302,Madde_Listesi!$B:$B,0)),"Kod yok"))</f>
        <v/>
      </c>
      <c r="E302" s="19" t="str">
        <f aca="false">IF($B302="","",IFERROR(INDEX(Madde_Listesi!$D:$D,MATCH($B302,Madde_Listesi!$B:$B,0)),"Kod yok"))</f>
        <v/>
      </c>
      <c r="F302" s="19" t="str">
        <f aca="false">IF($B302="","",IFERROR(INDEX(Madde_Listesi!$E:$E,MATCH($B302,Madde_Listesi!$B:$B,0)),"Kod yok"))</f>
        <v/>
      </c>
      <c r="G302" s="19" t="str">
        <f aca="false">IF($B302="","",IFERROR(INDEX(Madde_Listesi!$F:$F,MATCH($B302,Madde_Listesi!$B:$B,0)),"Kod yok"))</f>
        <v/>
      </c>
      <c r="H302" s="19" t="str">
        <f aca="false">IF($A302="","",IFERROR(INDEX(Denetimler!$C:$C,MATCH($A302,Denetimler!$A:$A,0)),"No yok"))</f>
        <v/>
      </c>
      <c r="I302" s="19" t="str">
        <f aca="false">IF($A302="","",IFERROR(INDEX(Denetimler!$D:$D,MATCH($A302,Denetimler!$A:$A,0)),"No yok"))</f>
        <v/>
      </c>
      <c r="J302" s="19" t="str">
        <f aca="false">IF($A302="","",IFERROR(INDEX(Denetimler!$E:$E,MATCH($A302,Denetimler!$A:$A,0)),"No yok"))</f>
        <v/>
      </c>
      <c r="K302" s="25" t="str">
        <f aca="false">IF($A302="","",IFERROR(INDEX(Denetimler!$B:$B,MATCH($A302,Denetimler!$A:$A,0)),"No yok"))</f>
        <v/>
      </c>
    </row>
    <row r="303" customFormat="false" ht="15" hidden="false" customHeight="false" outlineLevel="0" collapsed="false">
      <c r="D303" s="19" t="str">
        <f aca="false">IF($B303="","",IFERROR(INDEX(Madde_Listesi!$C:$C,MATCH($B303,Madde_Listesi!$B:$B,0)),"Kod yok"))</f>
        <v/>
      </c>
      <c r="E303" s="19" t="str">
        <f aca="false">IF($B303="","",IFERROR(INDEX(Madde_Listesi!$D:$D,MATCH($B303,Madde_Listesi!$B:$B,0)),"Kod yok"))</f>
        <v/>
      </c>
      <c r="F303" s="19" t="str">
        <f aca="false">IF($B303="","",IFERROR(INDEX(Madde_Listesi!$E:$E,MATCH($B303,Madde_Listesi!$B:$B,0)),"Kod yok"))</f>
        <v/>
      </c>
      <c r="G303" s="19" t="str">
        <f aca="false">IF($B303="","",IFERROR(INDEX(Madde_Listesi!$F:$F,MATCH($B303,Madde_Listesi!$B:$B,0)),"Kod yok"))</f>
        <v/>
      </c>
      <c r="H303" s="19" t="str">
        <f aca="false">IF($A303="","",IFERROR(INDEX(Denetimler!$C:$C,MATCH($A303,Denetimler!$A:$A,0)),"No yok"))</f>
        <v/>
      </c>
      <c r="I303" s="19" t="str">
        <f aca="false">IF($A303="","",IFERROR(INDEX(Denetimler!$D:$D,MATCH($A303,Denetimler!$A:$A,0)),"No yok"))</f>
        <v/>
      </c>
      <c r="J303" s="19" t="str">
        <f aca="false">IF($A303="","",IFERROR(INDEX(Denetimler!$E:$E,MATCH($A303,Denetimler!$A:$A,0)),"No yok"))</f>
        <v/>
      </c>
      <c r="K303" s="25" t="str">
        <f aca="false">IF($A303="","",IFERROR(INDEX(Denetimler!$B:$B,MATCH($A303,Denetimler!$A:$A,0)),"No yok"))</f>
        <v/>
      </c>
    </row>
    <row r="304" customFormat="false" ht="15" hidden="false" customHeight="false" outlineLevel="0" collapsed="false">
      <c r="D304" s="19" t="str">
        <f aca="false">IF($B304="","",IFERROR(INDEX(Madde_Listesi!$C:$C,MATCH($B304,Madde_Listesi!$B:$B,0)),"Kod yok"))</f>
        <v/>
      </c>
      <c r="E304" s="19" t="str">
        <f aca="false">IF($B304="","",IFERROR(INDEX(Madde_Listesi!$D:$D,MATCH($B304,Madde_Listesi!$B:$B,0)),"Kod yok"))</f>
        <v/>
      </c>
      <c r="F304" s="19" t="str">
        <f aca="false">IF($B304="","",IFERROR(INDEX(Madde_Listesi!$E:$E,MATCH($B304,Madde_Listesi!$B:$B,0)),"Kod yok"))</f>
        <v/>
      </c>
      <c r="G304" s="19" t="str">
        <f aca="false">IF($B304="","",IFERROR(INDEX(Madde_Listesi!$F:$F,MATCH($B304,Madde_Listesi!$B:$B,0)),"Kod yok"))</f>
        <v/>
      </c>
      <c r="H304" s="19" t="str">
        <f aca="false">IF($A304="","",IFERROR(INDEX(Denetimler!$C:$C,MATCH($A304,Denetimler!$A:$A,0)),"No yok"))</f>
        <v/>
      </c>
      <c r="I304" s="19" t="str">
        <f aca="false">IF($A304="","",IFERROR(INDEX(Denetimler!$D:$D,MATCH($A304,Denetimler!$A:$A,0)),"No yok"))</f>
        <v/>
      </c>
      <c r="J304" s="19" t="str">
        <f aca="false">IF($A304="","",IFERROR(INDEX(Denetimler!$E:$E,MATCH($A304,Denetimler!$A:$A,0)),"No yok"))</f>
        <v/>
      </c>
      <c r="K304" s="25" t="str">
        <f aca="false">IF($A304="","",IFERROR(INDEX(Denetimler!$B:$B,MATCH($A304,Denetimler!$A:$A,0)),"No yok"))</f>
        <v/>
      </c>
    </row>
    <row r="305" customFormat="false" ht="15" hidden="false" customHeight="false" outlineLevel="0" collapsed="false">
      <c r="D305" s="19" t="str">
        <f aca="false">IF($B305="","",IFERROR(INDEX(Madde_Listesi!$C:$C,MATCH($B305,Madde_Listesi!$B:$B,0)),"Kod yok"))</f>
        <v/>
      </c>
      <c r="E305" s="19" t="str">
        <f aca="false">IF($B305="","",IFERROR(INDEX(Madde_Listesi!$D:$D,MATCH($B305,Madde_Listesi!$B:$B,0)),"Kod yok"))</f>
        <v/>
      </c>
      <c r="F305" s="19" t="str">
        <f aca="false">IF($B305="","",IFERROR(INDEX(Madde_Listesi!$E:$E,MATCH($B305,Madde_Listesi!$B:$B,0)),"Kod yok"))</f>
        <v/>
      </c>
      <c r="G305" s="19" t="str">
        <f aca="false">IF($B305="","",IFERROR(INDEX(Madde_Listesi!$F:$F,MATCH($B305,Madde_Listesi!$B:$B,0)),"Kod yok"))</f>
        <v/>
      </c>
      <c r="H305" s="19" t="str">
        <f aca="false">IF($A305="","",IFERROR(INDEX(Denetimler!$C:$C,MATCH($A305,Denetimler!$A:$A,0)),"No yok"))</f>
        <v/>
      </c>
      <c r="I305" s="19" t="str">
        <f aca="false">IF($A305="","",IFERROR(INDEX(Denetimler!$D:$D,MATCH($A305,Denetimler!$A:$A,0)),"No yok"))</f>
        <v/>
      </c>
      <c r="J305" s="19" t="str">
        <f aca="false">IF($A305="","",IFERROR(INDEX(Denetimler!$E:$E,MATCH($A305,Denetimler!$A:$A,0)),"No yok"))</f>
        <v/>
      </c>
      <c r="K305" s="25" t="str">
        <f aca="false">IF($A305="","",IFERROR(INDEX(Denetimler!$B:$B,MATCH($A305,Denetimler!$A:$A,0)),"No yok"))</f>
        <v/>
      </c>
    </row>
    <row r="306" customFormat="false" ht="15" hidden="false" customHeight="false" outlineLevel="0" collapsed="false">
      <c r="D306" s="19" t="str">
        <f aca="false">IF($B306="","",IFERROR(INDEX(Madde_Listesi!$C:$C,MATCH($B306,Madde_Listesi!$B:$B,0)),"Kod yok"))</f>
        <v/>
      </c>
      <c r="E306" s="19" t="str">
        <f aca="false">IF($B306="","",IFERROR(INDEX(Madde_Listesi!$D:$D,MATCH($B306,Madde_Listesi!$B:$B,0)),"Kod yok"))</f>
        <v/>
      </c>
      <c r="F306" s="19" t="str">
        <f aca="false">IF($B306="","",IFERROR(INDEX(Madde_Listesi!$E:$E,MATCH($B306,Madde_Listesi!$B:$B,0)),"Kod yok"))</f>
        <v/>
      </c>
      <c r="G306" s="19" t="str">
        <f aca="false">IF($B306="","",IFERROR(INDEX(Madde_Listesi!$F:$F,MATCH($B306,Madde_Listesi!$B:$B,0)),"Kod yok"))</f>
        <v/>
      </c>
      <c r="H306" s="19" t="str">
        <f aca="false">IF($A306="","",IFERROR(INDEX(Denetimler!$C:$C,MATCH($A306,Denetimler!$A:$A,0)),"No yok"))</f>
        <v/>
      </c>
      <c r="I306" s="19" t="str">
        <f aca="false">IF($A306="","",IFERROR(INDEX(Denetimler!$D:$D,MATCH($A306,Denetimler!$A:$A,0)),"No yok"))</f>
        <v/>
      </c>
      <c r="J306" s="19" t="str">
        <f aca="false">IF($A306="","",IFERROR(INDEX(Denetimler!$E:$E,MATCH($A306,Denetimler!$A:$A,0)),"No yok"))</f>
        <v/>
      </c>
      <c r="K306" s="25" t="str">
        <f aca="false">IF($A306="","",IFERROR(INDEX(Denetimler!$B:$B,MATCH($A306,Denetimler!$A:$A,0)),"No yok"))</f>
        <v/>
      </c>
    </row>
    <row r="307" customFormat="false" ht="15" hidden="false" customHeight="false" outlineLevel="0" collapsed="false">
      <c r="D307" s="19" t="str">
        <f aca="false">IF($B307="","",IFERROR(INDEX(Madde_Listesi!$C:$C,MATCH($B307,Madde_Listesi!$B:$B,0)),"Kod yok"))</f>
        <v/>
      </c>
      <c r="E307" s="19" t="str">
        <f aca="false">IF($B307="","",IFERROR(INDEX(Madde_Listesi!$D:$D,MATCH($B307,Madde_Listesi!$B:$B,0)),"Kod yok"))</f>
        <v/>
      </c>
      <c r="F307" s="19" t="str">
        <f aca="false">IF($B307="","",IFERROR(INDEX(Madde_Listesi!$E:$E,MATCH($B307,Madde_Listesi!$B:$B,0)),"Kod yok"))</f>
        <v/>
      </c>
      <c r="G307" s="19" t="str">
        <f aca="false">IF($B307="","",IFERROR(INDEX(Madde_Listesi!$F:$F,MATCH($B307,Madde_Listesi!$B:$B,0)),"Kod yok"))</f>
        <v/>
      </c>
      <c r="H307" s="19" t="str">
        <f aca="false">IF($A307="","",IFERROR(INDEX(Denetimler!$C:$C,MATCH($A307,Denetimler!$A:$A,0)),"No yok"))</f>
        <v/>
      </c>
      <c r="I307" s="19" t="str">
        <f aca="false">IF($A307="","",IFERROR(INDEX(Denetimler!$D:$D,MATCH($A307,Denetimler!$A:$A,0)),"No yok"))</f>
        <v/>
      </c>
      <c r="J307" s="19" t="str">
        <f aca="false">IF($A307="","",IFERROR(INDEX(Denetimler!$E:$E,MATCH($A307,Denetimler!$A:$A,0)),"No yok"))</f>
        <v/>
      </c>
      <c r="K307" s="25" t="str">
        <f aca="false">IF($A307="","",IFERROR(INDEX(Denetimler!$B:$B,MATCH($A307,Denetimler!$A:$A,0)),"No yok"))</f>
        <v/>
      </c>
    </row>
    <row r="308" customFormat="false" ht="15" hidden="false" customHeight="false" outlineLevel="0" collapsed="false">
      <c r="D308" s="19" t="str">
        <f aca="false">IF($B308="","",IFERROR(INDEX(Madde_Listesi!$C:$C,MATCH($B308,Madde_Listesi!$B:$B,0)),"Kod yok"))</f>
        <v/>
      </c>
      <c r="E308" s="19" t="str">
        <f aca="false">IF($B308="","",IFERROR(INDEX(Madde_Listesi!$D:$D,MATCH($B308,Madde_Listesi!$B:$B,0)),"Kod yok"))</f>
        <v/>
      </c>
      <c r="F308" s="19" t="str">
        <f aca="false">IF($B308="","",IFERROR(INDEX(Madde_Listesi!$E:$E,MATCH($B308,Madde_Listesi!$B:$B,0)),"Kod yok"))</f>
        <v/>
      </c>
      <c r="G308" s="19" t="str">
        <f aca="false">IF($B308="","",IFERROR(INDEX(Madde_Listesi!$F:$F,MATCH($B308,Madde_Listesi!$B:$B,0)),"Kod yok"))</f>
        <v/>
      </c>
      <c r="H308" s="19" t="str">
        <f aca="false">IF($A308="","",IFERROR(INDEX(Denetimler!$C:$C,MATCH($A308,Denetimler!$A:$A,0)),"No yok"))</f>
        <v/>
      </c>
      <c r="I308" s="19" t="str">
        <f aca="false">IF($A308="","",IFERROR(INDEX(Denetimler!$D:$D,MATCH($A308,Denetimler!$A:$A,0)),"No yok"))</f>
        <v/>
      </c>
      <c r="J308" s="19" t="str">
        <f aca="false">IF($A308="","",IFERROR(INDEX(Denetimler!$E:$E,MATCH($A308,Denetimler!$A:$A,0)),"No yok"))</f>
        <v/>
      </c>
      <c r="K308" s="25" t="str">
        <f aca="false">IF($A308="","",IFERROR(INDEX(Denetimler!$B:$B,MATCH($A308,Denetimler!$A:$A,0)),"No yok"))</f>
        <v/>
      </c>
    </row>
    <row r="309" customFormat="false" ht="15" hidden="false" customHeight="false" outlineLevel="0" collapsed="false">
      <c r="D309" s="19" t="str">
        <f aca="false">IF($B309="","",IFERROR(INDEX(Madde_Listesi!$C:$C,MATCH($B309,Madde_Listesi!$B:$B,0)),"Kod yok"))</f>
        <v/>
      </c>
      <c r="E309" s="19" t="str">
        <f aca="false">IF($B309="","",IFERROR(INDEX(Madde_Listesi!$D:$D,MATCH($B309,Madde_Listesi!$B:$B,0)),"Kod yok"))</f>
        <v/>
      </c>
      <c r="F309" s="19" t="str">
        <f aca="false">IF($B309="","",IFERROR(INDEX(Madde_Listesi!$E:$E,MATCH($B309,Madde_Listesi!$B:$B,0)),"Kod yok"))</f>
        <v/>
      </c>
      <c r="G309" s="19" t="str">
        <f aca="false">IF($B309="","",IFERROR(INDEX(Madde_Listesi!$F:$F,MATCH($B309,Madde_Listesi!$B:$B,0)),"Kod yok"))</f>
        <v/>
      </c>
      <c r="H309" s="19" t="str">
        <f aca="false">IF($A309="","",IFERROR(INDEX(Denetimler!$C:$C,MATCH($A309,Denetimler!$A:$A,0)),"No yok"))</f>
        <v/>
      </c>
      <c r="I309" s="19" t="str">
        <f aca="false">IF($A309="","",IFERROR(INDEX(Denetimler!$D:$D,MATCH($A309,Denetimler!$A:$A,0)),"No yok"))</f>
        <v/>
      </c>
      <c r="J309" s="19" t="str">
        <f aca="false">IF($A309="","",IFERROR(INDEX(Denetimler!$E:$E,MATCH($A309,Denetimler!$A:$A,0)),"No yok"))</f>
        <v/>
      </c>
      <c r="K309" s="25" t="str">
        <f aca="false">IF($A309="","",IFERROR(INDEX(Denetimler!$B:$B,MATCH($A309,Denetimler!$A:$A,0)),"No yok"))</f>
        <v/>
      </c>
    </row>
    <row r="310" customFormat="false" ht="15" hidden="false" customHeight="false" outlineLevel="0" collapsed="false">
      <c r="D310" s="19" t="str">
        <f aca="false">IF($B310="","",IFERROR(INDEX(Madde_Listesi!$C:$C,MATCH($B310,Madde_Listesi!$B:$B,0)),"Kod yok"))</f>
        <v/>
      </c>
      <c r="E310" s="19" t="str">
        <f aca="false">IF($B310="","",IFERROR(INDEX(Madde_Listesi!$D:$D,MATCH($B310,Madde_Listesi!$B:$B,0)),"Kod yok"))</f>
        <v/>
      </c>
      <c r="F310" s="19" t="str">
        <f aca="false">IF($B310="","",IFERROR(INDEX(Madde_Listesi!$E:$E,MATCH($B310,Madde_Listesi!$B:$B,0)),"Kod yok"))</f>
        <v/>
      </c>
      <c r="G310" s="19" t="str">
        <f aca="false">IF($B310="","",IFERROR(INDEX(Madde_Listesi!$F:$F,MATCH($B310,Madde_Listesi!$B:$B,0)),"Kod yok"))</f>
        <v/>
      </c>
      <c r="H310" s="19" t="str">
        <f aca="false">IF($A310="","",IFERROR(INDEX(Denetimler!$C:$C,MATCH($A310,Denetimler!$A:$A,0)),"No yok"))</f>
        <v/>
      </c>
      <c r="I310" s="19" t="str">
        <f aca="false">IF($A310="","",IFERROR(INDEX(Denetimler!$D:$D,MATCH($A310,Denetimler!$A:$A,0)),"No yok"))</f>
        <v/>
      </c>
      <c r="J310" s="19" t="str">
        <f aca="false">IF($A310="","",IFERROR(INDEX(Denetimler!$E:$E,MATCH($A310,Denetimler!$A:$A,0)),"No yok"))</f>
        <v/>
      </c>
      <c r="K310" s="25" t="str">
        <f aca="false">IF($A310="","",IFERROR(INDEX(Denetimler!$B:$B,MATCH($A310,Denetimler!$A:$A,0)),"No yok"))</f>
        <v/>
      </c>
    </row>
    <row r="311" customFormat="false" ht="15" hidden="false" customHeight="false" outlineLevel="0" collapsed="false">
      <c r="D311" s="19" t="str">
        <f aca="false">IF($B311="","",IFERROR(INDEX(Madde_Listesi!$C:$C,MATCH($B311,Madde_Listesi!$B:$B,0)),"Kod yok"))</f>
        <v/>
      </c>
      <c r="E311" s="19" t="str">
        <f aca="false">IF($B311="","",IFERROR(INDEX(Madde_Listesi!$D:$D,MATCH($B311,Madde_Listesi!$B:$B,0)),"Kod yok"))</f>
        <v/>
      </c>
      <c r="F311" s="19" t="str">
        <f aca="false">IF($B311="","",IFERROR(INDEX(Madde_Listesi!$E:$E,MATCH($B311,Madde_Listesi!$B:$B,0)),"Kod yok"))</f>
        <v/>
      </c>
      <c r="G311" s="19" t="str">
        <f aca="false">IF($B311="","",IFERROR(INDEX(Madde_Listesi!$F:$F,MATCH($B311,Madde_Listesi!$B:$B,0)),"Kod yok"))</f>
        <v/>
      </c>
      <c r="H311" s="19" t="str">
        <f aca="false">IF($A311="","",IFERROR(INDEX(Denetimler!$C:$C,MATCH($A311,Denetimler!$A:$A,0)),"No yok"))</f>
        <v/>
      </c>
      <c r="I311" s="19" t="str">
        <f aca="false">IF($A311="","",IFERROR(INDEX(Denetimler!$D:$D,MATCH($A311,Denetimler!$A:$A,0)),"No yok"))</f>
        <v/>
      </c>
      <c r="J311" s="19" t="str">
        <f aca="false">IF($A311="","",IFERROR(INDEX(Denetimler!$E:$E,MATCH($A311,Denetimler!$A:$A,0)),"No yok"))</f>
        <v/>
      </c>
      <c r="K311" s="25" t="str">
        <f aca="false">IF($A311="","",IFERROR(INDEX(Denetimler!$B:$B,MATCH($A311,Denetimler!$A:$A,0)),"No yok"))</f>
        <v/>
      </c>
    </row>
    <row r="312" customFormat="false" ht="15" hidden="false" customHeight="false" outlineLevel="0" collapsed="false">
      <c r="D312" s="19" t="str">
        <f aca="false">IF($B312="","",IFERROR(INDEX(Madde_Listesi!$C:$C,MATCH($B312,Madde_Listesi!$B:$B,0)),"Kod yok"))</f>
        <v/>
      </c>
      <c r="E312" s="19" t="str">
        <f aca="false">IF($B312="","",IFERROR(INDEX(Madde_Listesi!$D:$D,MATCH($B312,Madde_Listesi!$B:$B,0)),"Kod yok"))</f>
        <v/>
      </c>
      <c r="F312" s="19" t="str">
        <f aca="false">IF($B312="","",IFERROR(INDEX(Madde_Listesi!$E:$E,MATCH($B312,Madde_Listesi!$B:$B,0)),"Kod yok"))</f>
        <v/>
      </c>
      <c r="G312" s="19" t="str">
        <f aca="false">IF($B312="","",IFERROR(INDEX(Madde_Listesi!$F:$F,MATCH($B312,Madde_Listesi!$B:$B,0)),"Kod yok"))</f>
        <v/>
      </c>
      <c r="H312" s="19" t="str">
        <f aca="false">IF($A312="","",IFERROR(INDEX(Denetimler!$C:$C,MATCH($A312,Denetimler!$A:$A,0)),"No yok"))</f>
        <v/>
      </c>
      <c r="I312" s="19" t="str">
        <f aca="false">IF($A312="","",IFERROR(INDEX(Denetimler!$D:$D,MATCH($A312,Denetimler!$A:$A,0)),"No yok"))</f>
        <v/>
      </c>
      <c r="J312" s="19" t="str">
        <f aca="false">IF($A312="","",IFERROR(INDEX(Denetimler!$E:$E,MATCH($A312,Denetimler!$A:$A,0)),"No yok"))</f>
        <v/>
      </c>
      <c r="K312" s="25" t="str">
        <f aca="false">IF($A312="","",IFERROR(INDEX(Denetimler!$B:$B,MATCH($A312,Denetimler!$A:$A,0)),"No yok"))</f>
        <v/>
      </c>
    </row>
    <row r="313" customFormat="false" ht="15" hidden="false" customHeight="false" outlineLevel="0" collapsed="false">
      <c r="D313" s="19" t="str">
        <f aca="false">IF($B313="","",IFERROR(INDEX(Madde_Listesi!$C:$C,MATCH($B313,Madde_Listesi!$B:$B,0)),"Kod yok"))</f>
        <v/>
      </c>
      <c r="E313" s="19" t="str">
        <f aca="false">IF($B313="","",IFERROR(INDEX(Madde_Listesi!$D:$D,MATCH($B313,Madde_Listesi!$B:$B,0)),"Kod yok"))</f>
        <v/>
      </c>
      <c r="F313" s="19" t="str">
        <f aca="false">IF($B313="","",IFERROR(INDEX(Madde_Listesi!$E:$E,MATCH($B313,Madde_Listesi!$B:$B,0)),"Kod yok"))</f>
        <v/>
      </c>
      <c r="G313" s="19" t="str">
        <f aca="false">IF($B313="","",IFERROR(INDEX(Madde_Listesi!$F:$F,MATCH($B313,Madde_Listesi!$B:$B,0)),"Kod yok"))</f>
        <v/>
      </c>
      <c r="H313" s="19" t="str">
        <f aca="false">IF($A313="","",IFERROR(INDEX(Denetimler!$C:$C,MATCH($A313,Denetimler!$A:$A,0)),"No yok"))</f>
        <v/>
      </c>
      <c r="I313" s="19" t="str">
        <f aca="false">IF($A313="","",IFERROR(INDEX(Denetimler!$D:$D,MATCH($A313,Denetimler!$A:$A,0)),"No yok"))</f>
        <v/>
      </c>
      <c r="J313" s="19" t="str">
        <f aca="false">IF($A313="","",IFERROR(INDEX(Denetimler!$E:$E,MATCH($A313,Denetimler!$A:$A,0)),"No yok"))</f>
        <v/>
      </c>
      <c r="K313" s="25" t="str">
        <f aca="false">IF($A313="","",IFERROR(INDEX(Denetimler!$B:$B,MATCH($A313,Denetimler!$A:$A,0)),"No yok"))</f>
        <v/>
      </c>
    </row>
    <row r="314" customFormat="false" ht="15" hidden="false" customHeight="false" outlineLevel="0" collapsed="false">
      <c r="D314" s="19" t="str">
        <f aca="false">IF($B314="","",IFERROR(INDEX(Madde_Listesi!$C:$C,MATCH($B314,Madde_Listesi!$B:$B,0)),"Kod yok"))</f>
        <v/>
      </c>
      <c r="E314" s="19" t="str">
        <f aca="false">IF($B314="","",IFERROR(INDEX(Madde_Listesi!$D:$D,MATCH($B314,Madde_Listesi!$B:$B,0)),"Kod yok"))</f>
        <v/>
      </c>
      <c r="F314" s="19" t="str">
        <f aca="false">IF($B314="","",IFERROR(INDEX(Madde_Listesi!$E:$E,MATCH($B314,Madde_Listesi!$B:$B,0)),"Kod yok"))</f>
        <v/>
      </c>
      <c r="G314" s="19" t="str">
        <f aca="false">IF($B314="","",IFERROR(INDEX(Madde_Listesi!$F:$F,MATCH($B314,Madde_Listesi!$B:$B,0)),"Kod yok"))</f>
        <v/>
      </c>
      <c r="H314" s="19" t="str">
        <f aca="false">IF($A314="","",IFERROR(INDEX(Denetimler!$C:$C,MATCH($A314,Denetimler!$A:$A,0)),"No yok"))</f>
        <v/>
      </c>
      <c r="I314" s="19" t="str">
        <f aca="false">IF($A314="","",IFERROR(INDEX(Denetimler!$D:$D,MATCH($A314,Denetimler!$A:$A,0)),"No yok"))</f>
        <v/>
      </c>
      <c r="J314" s="19" t="str">
        <f aca="false">IF($A314="","",IFERROR(INDEX(Denetimler!$E:$E,MATCH($A314,Denetimler!$A:$A,0)),"No yok"))</f>
        <v/>
      </c>
      <c r="K314" s="25" t="str">
        <f aca="false">IF($A314="","",IFERROR(INDEX(Denetimler!$B:$B,MATCH($A314,Denetimler!$A:$A,0)),"No yok"))</f>
        <v/>
      </c>
    </row>
    <row r="315" customFormat="false" ht="15" hidden="false" customHeight="false" outlineLevel="0" collapsed="false">
      <c r="D315" s="19" t="str">
        <f aca="false">IF($B315="","",IFERROR(INDEX(Madde_Listesi!$C:$C,MATCH($B315,Madde_Listesi!$B:$B,0)),"Kod yok"))</f>
        <v/>
      </c>
      <c r="E315" s="19" t="str">
        <f aca="false">IF($B315="","",IFERROR(INDEX(Madde_Listesi!$D:$D,MATCH($B315,Madde_Listesi!$B:$B,0)),"Kod yok"))</f>
        <v/>
      </c>
      <c r="F315" s="19" t="str">
        <f aca="false">IF($B315="","",IFERROR(INDEX(Madde_Listesi!$E:$E,MATCH($B315,Madde_Listesi!$B:$B,0)),"Kod yok"))</f>
        <v/>
      </c>
      <c r="G315" s="19" t="str">
        <f aca="false">IF($B315="","",IFERROR(INDEX(Madde_Listesi!$F:$F,MATCH($B315,Madde_Listesi!$B:$B,0)),"Kod yok"))</f>
        <v/>
      </c>
      <c r="H315" s="19" t="str">
        <f aca="false">IF($A315="","",IFERROR(INDEX(Denetimler!$C:$C,MATCH($A315,Denetimler!$A:$A,0)),"No yok"))</f>
        <v/>
      </c>
      <c r="I315" s="19" t="str">
        <f aca="false">IF($A315="","",IFERROR(INDEX(Denetimler!$D:$D,MATCH($A315,Denetimler!$A:$A,0)),"No yok"))</f>
        <v/>
      </c>
      <c r="J315" s="19" t="str">
        <f aca="false">IF($A315="","",IFERROR(INDEX(Denetimler!$E:$E,MATCH($A315,Denetimler!$A:$A,0)),"No yok"))</f>
        <v/>
      </c>
      <c r="K315" s="25" t="str">
        <f aca="false">IF($A315="","",IFERROR(INDEX(Denetimler!$B:$B,MATCH($A315,Denetimler!$A:$A,0)),"No yok"))</f>
        <v/>
      </c>
    </row>
    <row r="316" customFormat="false" ht="15" hidden="false" customHeight="false" outlineLevel="0" collapsed="false">
      <c r="D316" s="19" t="str">
        <f aca="false">IF($B316="","",IFERROR(INDEX(Madde_Listesi!$C:$C,MATCH($B316,Madde_Listesi!$B:$B,0)),"Kod yok"))</f>
        <v/>
      </c>
      <c r="E316" s="19" t="str">
        <f aca="false">IF($B316="","",IFERROR(INDEX(Madde_Listesi!$D:$D,MATCH($B316,Madde_Listesi!$B:$B,0)),"Kod yok"))</f>
        <v/>
      </c>
      <c r="F316" s="19" t="str">
        <f aca="false">IF($B316="","",IFERROR(INDEX(Madde_Listesi!$E:$E,MATCH($B316,Madde_Listesi!$B:$B,0)),"Kod yok"))</f>
        <v/>
      </c>
      <c r="G316" s="19" t="str">
        <f aca="false">IF($B316="","",IFERROR(INDEX(Madde_Listesi!$F:$F,MATCH($B316,Madde_Listesi!$B:$B,0)),"Kod yok"))</f>
        <v/>
      </c>
      <c r="H316" s="19" t="str">
        <f aca="false">IF($A316="","",IFERROR(INDEX(Denetimler!$C:$C,MATCH($A316,Denetimler!$A:$A,0)),"No yok"))</f>
        <v/>
      </c>
      <c r="I316" s="19" t="str">
        <f aca="false">IF($A316="","",IFERROR(INDEX(Denetimler!$D:$D,MATCH($A316,Denetimler!$A:$A,0)),"No yok"))</f>
        <v/>
      </c>
      <c r="J316" s="19" t="str">
        <f aca="false">IF($A316="","",IFERROR(INDEX(Denetimler!$E:$E,MATCH($A316,Denetimler!$A:$A,0)),"No yok"))</f>
        <v/>
      </c>
      <c r="K316" s="25" t="str">
        <f aca="false">IF($A316="","",IFERROR(INDEX(Denetimler!$B:$B,MATCH($A316,Denetimler!$A:$A,0)),"No yok"))</f>
        <v/>
      </c>
    </row>
    <row r="317" customFormat="false" ht="15" hidden="false" customHeight="false" outlineLevel="0" collapsed="false">
      <c r="D317" s="19" t="str">
        <f aca="false">IF($B317="","",IFERROR(INDEX(Madde_Listesi!$C:$C,MATCH($B317,Madde_Listesi!$B:$B,0)),"Kod yok"))</f>
        <v/>
      </c>
      <c r="E317" s="19" t="str">
        <f aca="false">IF($B317="","",IFERROR(INDEX(Madde_Listesi!$D:$D,MATCH($B317,Madde_Listesi!$B:$B,0)),"Kod yok"))</f>
        <v/>
      </c>
      <c r="F317" s="19" t="str">
        <f aca="false">IF($B317="","",IFERROR(INDEX(Madde_Listesi!$E:$E,MATCH($B317,Madde_Listesi!$B:$B,0)),"Kod yok"))</f>
        <v/>
      </c>
      <c r="G317" s="19" t="str">
        <f aca="false">IF($B317="","",IFERROR(INDEX(Madde_Listesi!$F:$F,MATCH($B317,Madde_Listesi!$B:$B,0)),"Kod yok"))</f>
        <v/>
      </c>
      <c r="H317" s="19" t="str">
        <f aca="false">IF($A317="","",IFERROR(INDEX(Denetimler!$C:$C,MATCH($A317,Denetimler!$A:$A,0)),"No yok"))</f>
        <v/>
      </c>
      <c r="I317" s="19" t="str">
        <f aca="false">IF($A317="","",IFERROR(INDEX(Denetimler!$D:$D,MATCH($A317,Denetimler!$A:$A,0)),"No yok"))</f>
        <v/>
      </c>
      <c r="J317" s="19" t="str">
        <f aca="false">IF($A317="","",IFERROR(INDEX(Denetimler!$E:$E,MATCH($A317,Denetimler!$A:$A,0)),"No yok"))</f>
        <v/>
      </c>
      <c r="K317" s="25" t="str">
        <f aca="false">IF($A317="","",IFERROR(INDEX(Denetimler!$B:$B,MATCH($A317,Denetimler!$A:$A,0)),"No yok"))</f>
        <v/>
      </c>
    </row>
    <row r="318" customFormat="false" ht="15" hidden="false" customHeight="false" outlineLevel="0" collapsed="false">
      <c r="D318" s="19" t="str">
        <f aca="false">IF($B318="","",IFERROR(INDEX(Madde_Listesi!$C:$C,MATCH($B318,Madde_Listesi!$B:$B,0)),"Kod yok"))</f>
        <v/>
      </c>
      <c r="E318" s="19" t="str">
        <f aca="false">IF($B318="","",IFERROR(INDEX(Madde_Listesi!$D:$D,MATCH($B318,Madde_Listesi!$B:$B,0)),"Kod yok"))</f>
        <v/>
      </c>
      <c r="F318" s="19" t="str">
        <f aca="false">IF($B318="","",IFERROR(INDEX(Madde_Listesi!$E:$E,MATCH($B318,Madde_Listesi!$B:$B,0)),"Kod yok"))</f>
        <v/>
      </c>
      <c r="G318" s="19" t="str">
        <f aca="false">IF($B318="","",IFERROR(INDEX(Madde_Listesi!$F:$F,MATCH($B318,Madde_Listesi!$B:$B,0)),"Kod yok"))</f>
        <v/>
      </c>
      <c r="H318" s="19" t="str">
        <f aca="false">IF($A318="","",IFERROR(INDEX(Denetimler!$C:$C,MATCH($A318,Denetimler!$A:$A,0)),"No yok"))</f>
        <v/>
      </c>
      <c r="I318" s="19" t="str">
        <f aca="false">IF($A318="","",IFERROR(INDEX(Denetimler!$D:$D,MATCH($A318,Denetimler!$A:$A,0)),"No yok"))</f>
        <v/>
      </c>
      <c r="J318" s="19" t="str">
        <f aca="false">IF($A318="","",IFERROR(INDEX(Denetimler!$E:$E,MATCH($A318,Denetimler!$A:$A,0)),"No yok"))</f>
        <v/>
      </c>
      <c r="K318" s="25" t="str">
        <f aca="false">IF($A318="","",IFERROR(INDEX(Denetimler!$B:$B,MATCH($A318,Denetimler!$A:$A,0)),"No yok"))</f>
        <v/>
      </c>
    </row>
    <row r="319" customFormat="false" ht="15" hidden="false" customHeight="false" outlineLevel="0" collapsed="false">
      <c r="D319" s="19" t="str">
        <f aca="false">IF($B319="","",IFERROR(INDEX(Madde_Listesi!$C:$C,MATCH($B319,Madde_Listesi!$B:$B,0)),"Kod yok"))</f>
        <v/>
      </c>
      <c r="E319" s="19" t="str">
        <f aca="false">IF($B319="","",IFERROR(INDEX(Madde_Listesi!$D:$D,MATCH($B319,Madde_Listesi!$B:$B,0)),"Kod yok"))</f>
        <v/>
      </c>
      <c r="F319" s="19" t="str">
        <f aca="false">IF($B319="","",IFERROR(INDEX(Madde_Listesi!$E:$E,MATCH($B319,Madde_Listesi!$B:$B,0)),"Kod yok"))</f>
        <v/>
      </c>
      <c r="G319" s="19" t="str">
        <f aca="false">IF($B319="","",IFERROR(INDEX(Madde_Listesi!$F:$F,MATCH($B319,Madde_Listesi!$B:$B,0)),"Kod yok"))</f>
        <v/>
      </c>
      <c r="H319" s="19" t="str">
        <f aca="false">IF($A319="","",IFERROR(INDEX(Denetimler!$C:$C,MATCH($A319,Denetimler!$A:$A,0)),"No yok"))</f>
        <v/>
      </c>
      <c r="I319" s="19" t="str">
        <f aca="false">IF($A319="","",IFERROR(INDEX(Denetimler!$D:$D,MATCH($A319,Denetimler!$A:$A,0)),"No yok"))</f>
        <v/>
      </c>
      <c r="J319" s="19" t="str">
        <f aca="false">IF($A319="","",IFERROR(INDEX(Denetimler!$E:$E,MATCH($A319,Denetimler!$A:$A,0)),"No yok"))</f>
        <v/>
      </c>
      <c r="K319" s="25" t="str">
        <f aca="false">IF($A319="","",IFERROR(INDEX(Denetimler!$B:$B,MATCH($A319,Denetimler!$A:$A,0)),"No yok"))</f>
        <v/>
      </c>
    </row>
    <row r="320" customFormat="false" ht="15" hidden="false" customHeight="false" outlineLevel="0" collapsed="false">
      <c r="D320" s="19" t="str">
        <f aca="false">IF($B320="","",IFERROR(INDEX(Madde_Listesi!$C:$C,MATCH($B320,Madde_Listesi!$B:$B,0)),"Kod yok"))</f>
        <v/>
      </c>
      <c r="E320" s="19" t="str">
        <f aca="false">IF($B320="","",IFERROR(INDEX(Madde_Listesi!$D:$D,MATCH($B320,Madde_Listesi!$B:$B,0)),"Kod yok"))</f>
        <v/>
      </c>
      <c r="F320" s="19" t="str">
        <f aca="false">IF($B320="","",IFERROR(INDEX(Madde_Listesi!$E:$E,MATCH($B320,Madde_Listesi!$B:$B,0)),"Kod yok"))</f>
        <v/>
      </c>
      <c r="G320" s="19" t="str">
        <f aca="false">IF($B320="","",IFERROR(INDEX(Madde_Listesi!$F:$F,MATCH($B320,Madde_Listesi!$B:$B,0)),"Kod yok"))</f>
        <v/>
      </c>
      <c r="H320" s="19" t="str">
        <f aca="false">IF($A320="","",IFERROR(INDEX(Denetimler!$C:$C,MATCH($A320,Denetimler!$A:$A,0)),"No yok"))</f>
        <v/>
      </c>
      <c r="I320" s="19" t="str">
        <f aca="false">IF($A320="","",IFERROR(INDEX(Denetimler!$D:$D,MATCH($A320,Denetimler!$A:$A,0)),"No yok"))</f>
        <v/>
      </c>
      <c r="J320" s="19" t="str">
        <f aca="false">IF($A320="","",IFERROR(INDEX(Denetimler!$E:$E,MATCH($A320,Denetimler!$A:$A,0)),"No yok"))</f>
        <v/>
      </c>
      <c r="K320" s="25" t="str">
        <f aca="false">IF($A320="","",IFERROR(INDEX(Denetimler!$B:$B,MATCH($A320,Denetimler!$A:$A,0)),"No yok"))</f>
        <v/>
      </c>
    </row>
    <row r="321" customFormat="false" ht="15" hidden="false" customHeight="false" outlineLevel="0" collapsed="false">
      <c r="D321" s="19" t="str">
        <f aca="false">IF($B321="","",IFERROR(INDEX(Madde_Listesi!$C:$C,MATCH($B321,Madde_Listesi!$B:$B,0)),"Kod yok"))</f>
        <v/>
      </c>
      <c r="E321" s="19" t="str">
        <f aca="false">IF($B321="","",IFERROR(INDEX(Madde_Listesi!$D:$D,MATCH($B321,Madde_Listesi!$B:$B,0)),"Kod yok"))</f>
        <v/>
      </c>
      <c r="F321" s="19" t="str">
        <f aca="false">IF($B321="","",IFERROR(INDEX(Madde_Listesi!$E:$E,MATCH($B321,Madde_Listesi!$B:$B,0)),"Kod yok"))</f>
        <v/>
      </c>
      <c r="G321" s="19" t="str">
        <f aca="false">IF($B321="","",IFERROR(INDEX(Madde_Listesi!$F:$F,MATCH($B321,Madde_Listesi!$B:$B,0)),"Kod yok"))</f>
        <v/>
      </c>
      <c r="H321" s="19" t="str">
        <f aca="false">IF($A321="","",IFERROR(INDEX(Denetimler!$C:$C,MATCH($A321,Denetimler!$A:$A,0)),"No yok"))</f>
        <v/>
      </c>
      <c r="I321" s="19" t="str">
        <f aca="false">IF($A321="","",IFERROR(INDEX(Denetimler!$D:$D,MATCH($A321,Denetimler!$A:$A,0)),"No yok"))</f>
        <v/>
      </c>
      <c r="J321" s="19" t="str">
        <f aca="false">IF($A321="","",IFERROR(INDEX(Denetimler!$E:$E,MATCH($A321,Denetimler!$A:$A,0)),"No yok"))</f>
        <v/>
      </c>
      <c r="K321" s="25" t="str">
        <f aca="false">IF($A321="","",IFERROR(INDEX(Denetimler!$B:$B,MATCH($A321,Denetimler!$A:$A,0)),"No yok"))</f>
        <v/>
      </c>
    </row>
    <row r="322" customFormat="false" ht="15" hidden="false" customHeight="false" outlineLevel="0" collapsed="false">
      <c r="D322" s="19" t="str">
        <f aca="false">IF($B322="","",IFERROR(INDEX(Madde_Listesi!$C:$C,MATCH($B322,Madde_Listesi!$B:$B,0)),"Kod yok"))</f>
        <v/>
      </c>
      <c r="E322" s="19" t="str">
        <f aca="false">IF($B322="","",IFERROR(INDEX(Madde_Listesi!$D:$D,MATCH($B322,Madde_Listesi!$B:$B,0)),"Kod yok"))</f>
        <v/>
      </c>
      <c r="F322" s="19" t="str">
        <f aca="false">IF($B322="","",IFERROR(INDEX(Madde_Listesi!$E:$E,MATCH($B322,Madde_Listesi!$B:$B,0)),"Kod yok"))</f>
        <v/>
      </c>
      <c r="G322" s="19" t="str">
        <f aca="false">IF($B322="","",IFERROR(INDEX(Madde_Listesi!$F:$F,MATCH($B322,Madde_Listesi!$B:$B,0)),"Kod yok"))</f>
        <v/>
      </c>
      <c r="H322" s="19" t="str">
        <f aca="false">IF($A322="","",IFERROR(INDEX(Denetimler!$C:$C,MATCH($A322,Denetimler!$A:$A,0)),"No yok"))</f>
        <v/>
      </c>
      <c r="I322" s="19" t="str">
        <f aca="false">IF($A322="","",IFERROR(INDEX(Denetimler!$D:$D,MATCH($A322,Denetimler!$A:$A,0)),"No yok"))</f>
        <v/>
      </c>
      <c r="J322" s="19" t="str">
        <f aca="false">IF($A322="","",IFERROR(INDEX(Denetimler!$E:$E,MATCH($A322,Denetimler!$A:$A,0)),"No yok"))</f>
        <v/>
      </c>
      <c r="K322" s="25" t="str">
        <f aca="false">IF($A322="","",IFERROR(INDEX(Denetimler!$B:$B,MATCH($A322,Denetimler!$A:$A,0)),"No yok"))</f>
        <v/>
      </c>
    </row>
    <row r="323" customFormat="false" ht="15" hidden="false" customHeight="false" outlineLevel="0" collapsed="false">
      <c r="D323" s="19" t="str">
        <f aca="false">IF($B323="","",IFERROR(INDEX(Madde_Listesi!$C:$C,MATCH($B323,Madde_Listesi!$B:$B,0)),"Kod yok"))</f>
        <v/>
      </c>
      <c r="E323" s="19" t="str">
        <f aca="false">IF($B323="","",IFERROR(INDEX(Madde_Listesi!$D:$D,MATCH($B323,Madde_Listesi!$B:$B,0)),"Kod yok"))</f>
        <v/>
      </c>
      <c r="F323" s="19" t="str">
        <f aca="false">IF($B323="","",IFERROR(INDEX(Madde_Listesi!$E:$E,MATCH($B323,Madde_Listesi!$B:$B,0)),"Kod yok"))</f>
        <v/>
      </c>
      <c r="G323" s="19" t="str">
        <f aca="false">IF($B323="","",IFERROR(INDEX(Madde_Listesi!$F:$F,MATCH($B323,Madde_Listesi!$B:$B,0)),"Kod yok"))</f>
        <v/>
      </c>
      <c r="H323" s="19" t="str">
        <f aca="false">IF($A323="","",IFERROR(INDEX(Denetimler!$C:$C,MATCH($A323,Denetimler!$A:$A,0)),"No yok"))</f>
        <v/>
      </c>
      <c r="I323" s="19" t="str">
        <f aca="false">IF($A323="","",IFERROR(INDEX(Denetimler!$D:$D,MATCH($A323,Denetimler!$A:$A,0)),"No yok"))</f>
        <v/>
      </c>
      <c r="J323" s="19" t="str">
        <f aca="false">IF($A323="","",IFERROR(INDEX(Denetimler!$E:$E,MATCH($A323,Denetimler!$A:$A,0)),"No yok"))</f>
        <v/>
      </c>
      <c r="K323" s="25" t="str">
        <f aca="false">IF($A323="","",IFERROR(INDEX(Denetimler!$B:$B,MATCH($A323,Denetimler!$A:$A,0)),"No yok"))</f>
        <v/>
      </c>
    </row>
    <row r="324" customFormat="false" ht="15" hidden="false" customHeight="false" outlineLevel="0" collapsed="false">
      <c r="D324" s="19" t="str">
        <f aca="false">IF($B324="","",IFERROR(INDEX(Madde_Listesi!$C:$C,MATCH($B324,Madde_Listesi!$B:$B,0)),"Kod yok"))</f>
        <v/>
      </c>
      <c r="E324" s="19" t="str">
        <f aca="false">IF($B324="","",IFERROR(INDEX(Madde_Listesi!$D:$D,MATCH($B324,Madde_Listesi!$B:$B,0)),"Kod yok"))</f>
        <v/>
      </c>
      <c r="F324" s="19" t="str">
        <f aca="false">IF($B324="","",IFERROR(INDEX(Madde_Listesi!$E:$E,MATCH($B324,Madde_Listesi!$B:$B,0)),"Kod yok"))</f>
        <v/>
      </c>
      <c r="G324" s="19" t="str">
        <f aca="false">IF($B324="","",IFERROR(INDEX(Madde_Listesi!$F:$F,MATCH($B324,Madde_Listesi!$B:$B,0)),"Kod yok"))</f>
        <v/>
      </c>
      <c r="H324" s="19" t="str">
        <f aca="false">IF($A324="","",IFERROR(INDEX(Denetimler!$C:$C,MATCH($A324,Denetimler!$A:$A,0)),"No yok"))</f>
        <v/>
      </c>
      <c r="I324" s="19" t="str">
        <f aca="false">IF($A324="","",IFERROR(INDEX(Denetimler!$D:$D,MATCH($A324,Denetimler!$A:$A,0)),"No yok"))</f>
        <v/>
      </c>
      <c r="J324" s="19" t="str">
        <f aca="false">IF($A324="","",IFERROR(INDEX(Denetimler!$E:$E,MATCH($A324,Denetimler!$A:$A,0)),"No yok"))</f>
        <v/>
      </c>
      <c r="K324" s="25" t="str">
        <f aca="false">IF($A324="","",IFERROR(INDEX(Denetimler!$B:$B,MATCH($A324,Denetimler!$A:$A,0)),"No yok"))</f>
        <v/>
      </c>
    </row>
    <row r="325" customFormat="false" ht="15" hidden="false" customHeight="false" outlineLevel="0" collapsed="false">
      <c r="D325" s="19" t="str">
        <f aca="false">IF($B325="","",IFERROR(INDEX(Madde_Listesi!$C:$C,MATCH($B325,Madde_Listesi!$B:$B,0)),"Kod yok"))</f>
        <v/>
      </c>
      <c r="E325" s="19" t="str">
        <f aca="false">IF($B325="","",IFERROR(INDEX(Madde_Listesi!$D:$D,MATCH($B325,Madde_Listesi!$B:$B,0)),"Kod yok"))</f>
        <v/>
      </c>
      <c r="F325" s="19" t="str">
        <f aca="false">IF($B325="","",IFERROR(INDEX(Madde_Listesi!$E:$E,MATCH($B325,Madde_Listesi!$B:$B,0)),"Kod yok"))</f>
        <v/>
      </c>
      <c r="G325" s="19" t="str">
        <f aca="false">IF($B325="","",IFERROR(INDEX(Madde_Listesi!$F:$F,MATCH($B325,Madde_Listesi!$B:$B,0)),"Kod yok"))</f>
        <v/>
      </c>
      <c r="H325" s="19" t="str">
        <f aca="false">IF($A325="","",IFERROR(INDEX(Denetimler!$C:$C,MATCH($A325,Denetimler!$A:$A,0)),"No yok"))</f>
        <v/>
      </c>
      <c r="I325" s="19" t="str">
        <f aca="false">IF($A325="","",IFERROR(INDEX(Denetimler!$D:$D,MATCH($A325,Denetimler!$A:$A,0)),"No yok"))</f>
        <v/>
      </c>
      <c r="J325" s="19" t="str">
        <f aca="false">IF($A325="","",IFERROR(INDEX(Denetimler!$E:$E,MATCH($A325,Denetimler!$A:$A,0)),"No yok"))</f>
        <v/>
      </c>
      <c r="K325" s="25" t="str">
        <f aca="false">IF($A325="","",IFERROR(INDEX(Denetimler!$B:$B,MATCH($A325,Denetimler!$A:$A,0)),"No yok"))</f>
        <v/>
      </c>
    </row>
    <row r="326" customFormat="false" ht="15" hidden="false" customHeight="false" outlineLevel="0" collapsed="false">
      <c r="D326" s="19" t="str">
        <f aca="false">IF($B326="","",IFERROR(INDEX(Madde_Listesi!$C:$C,MATCH($B326,Madde_Listesi!$B:$B,0)),"Kod yok"))</f>
        <v/>
      </c>
      <c r="E326" s="19" t="str">
        <f aca="false">IF($B326="","",IFERROR(INDEX(Madde_Listesi!$D:$D,MATCH($B326,Madde_Listesi!$B:$B,0)),"Kod yok"))</f>
        <v/>
      </c>
      <c r="F326" s="19" t="str">
        <f aca="false">IF($B326="","",IFERROR(INDEX(Madde_Listesi!$E:$E,MATCH($B326,Madde_Listesi!$B:$B,0)),"Kod yok"))</f>
        <v/>
      </c>
      <c r="G326" s="19" t="str">
        <f aca="false">IF($B326="","",IFERROR(INDEX(Madde_Listesi!$F:$F,MATCH($B326,Madde_Listesi!$B:$B,0)),"Kod yok"))</f>
        <v/>
      </c>
      <c r="H326" s="19" t="str">
        <f aca="false">IF($A326="","",IFERROR(INDEX(Denetimler!$C:$C,MATCH($A326,Denetimler!$A:$A,0)),"No yok"))</f>
        <v/>
      </c>
      <c r="I326" s="19" t="str">
        <f aca="false">IF($A326="","",IFERROR(INDEX(Denetimler!$D:$D,MATCH($A326,Denetimler!$A:$A,0)),"No yok"))</f>
        <v/>
      </c>
      <c r="J326" s="19" t="str">
        <f aca="false">IF($A326="","",IFERROR(INDEX(Denetimler!$E:$E,MATCH($A326,Denetimler!$A:$A,0)),"No yok"))</f>
        <v/>
      </c>
      <c r="K326" s="25" t="str">
        <f aca="false">IF($A326="","",IFERROR(INDEX(Denetimler!$B:$B,MATCH($A326,Denetimler!$A:$A,0)),"No yok"))</f>
        <v/>
      </c>
    </row>
    <row r="327" customFormat="false" ht="15" hidden="false" customHeight="false" outlineLevel="0" collapsed="false">
      <c r="D327" s="19" t="str">
        <f aca="false">IF($B327="","",IFERROR(INDEX(Madde_Listesi!$C:$C,MATCH($B327,Madde_Listesi!$B:$B,0)),"Kod yok"))</f>
        <v/>
      </c>
      <c r="E327" s="19" t="str">
        <f aca="false">IF($B327="","",IFERROR(INDEX(Madde_Listesi!$D:$D,MATCH($B327,Madde_Listesi!$B:$B,0)),"Kod yok"))</f>
        <v/>
      </c>
      <c r="F327" s="19" t="str">
        <f aca="false">IF($B327="","",IFERROR(INDEX(Madde_Listesi!$E:$E,MATCH($B327,Madde_Listesi!$B:$B,0)),"Kod yok"))</f>
        <v/>
      </c>
      <c r="G327" s="19" t="str">
        <f aca="false">IF($B327="","",IFERROR(INDEX(Madde_Listesi!$F:$F,MATCH($B327,Madde_Listesi!$B:$B,0)),"Kod yok"))</f>
        <v/>
      </c>
      <c r="H327" s="19" t="str">
        <f aca="false">IF($A327="","",IFERROR(INDEX(Denetimler!$C:$C,MATCH($A327,Denetimler!$A:$A,0)),"No yok"))</f>
        <v/>
      </c>
      <c r="I327" s="19" t="str">
        <f aca="false">IF($A327="","",IFERROR(INDEX(Denetimler!$D:$D,MATCH($A327,Denetimler!$A:$A,0)),"No yok"))</f>
        <v/>
      </c>
      <c r="J327" s="19" t="str">
        <f aca="false">IF($A327="","",IFERROR(INDEX(Denetimler!$E:$E,MATCH($A327,Denetimler!$A:$A,0)),"No yok"))</f>
        <v/>
      </c>
      <c r="K327" s="25" t="str">
        <f aca="false">IF($A327="","",IFERROR(INDEX(Denetimler!$B:$B,MATCH($A327,Denetimler!$A:$A,0)),"No yok"))</f>
        <v/>
      </c>
    </row>
    <row r="328" customFormat="false" ht="15" hidden="false" customHeight="false" outlineLevel="0" collapsed="false">
      <c r="D328" s="19" t="str">
        <f aca="false">IF($B328="","",IFERROR(INDEX(Madde_Listesi!$C:$C,MATCH($B328,Madde_Listesi!$B:$B,0)),"Kod yok"))</f>
        <v/>
      </c>
      <c r="E328" s="19" t="str">
        <f aca="false">IF($B328="","",IFERROR(INDEX(Madde_Listesi!$D:$D,MATCH($B328,Madde_Listesi!$B:$B,0)),"Kod yok"))</f>
        <v/>
      </c>
      <c r="F328" s="19" t="str">
        <f aca="false">IF($B328="","",IFERROR(INDEX(Madde_Listesi!$E:$E,MATCH($B328,Madde_Listesi!$B:$B,0)),"Kod yok"))</f>
        <v/>
      </c>
      <c r="G328" s="19" t="str">
        <f aca="false">IF($B328="","",IFERROR(INDEX(Madde_Listesi!$F:$F,MATCH($B328,Madde_Listesi!$B:$B,0)),"Kod yok"))</f>
        <v/>
      </c>
      <c r="H328" s="19" t="str">
        <f aca="false">IF($A328="","",IFERROR(INDEX(Denetimler!$C:$C,MATCH($A328,Denetimler!$A:$A,0)),"No yok"))</f>
        <v/>
      </c>
      <c r="I328" s="19" t="str">
        <f aca="false">IF($A328="","",IFERROR(INDEX(Denetimler!$D:$D,MATCH($A328,Denetimler!$A:$A,0)),"No yok"))</f>
        <v/>
      </c>
      <c r="J328" s="19" t="str">
        <f aca="false">IF($A328="","",IFERROR(INDEX(Denetimler!$E:$E,MATCH($A328,Denetimler!$A:$A,0)),"No yok"))</f>
        <v/>
      </c>
      <c r="K328" s="25" t="str">
        <f aca="false">IF($A328="","",IFERROR(INDEX(Denetimler!$B:$B,MATCH($A328,Denetimler!$A:$A,0)),"No yok"))</f>
        <v/>
      </c>
    </row>
    <row r="329" customFormat="false" ht="15" hidden="false" customHeight="false" outlineLevel="0" collapsed="false">
      <c r="D329" s="19" t="str">
        <f aca="false">IF($B329="","",IFERROR(INDEX(Madde_Listesi!$C:$C,MATCH($B329,Madde_Listesi!$B:$B,0)),"Kod yok"))</f>
        <v/>
      </c>
      <c r="E329" s="19" t="str">
        <f aca="false">IF($B329="","",IFERROR(INDEX(Madde_Listesi!$D:$D,MATCH($B329,Madde_Listesi!$B:$B,0)),"Kod yok"))</f>
        <v/>
      </c>
      <c r="F329" s="19" t="str">
        <f aca="false">IF($B329="","",IFERROR(INDEX(Madde_Listesi!$E:$E,MATCH($B329,Madde_Listesi!$B:$B,0)),"Kod yok"))</f>
        <v/>
      </c>
      <c r="G329" s="19" t="str">
        <f aca="false">IF($B329="","",IFERROR(INDEX(Madde_Listesi!$F:$F,MATCH($B329,Madde_Listesi!$B:$B,0)),"Kod yok"))</f>
        <v/>
      </c>
      <c r="H329" s="19" t="str">
        <f aca="false">IF($A329="","",IFERROR(INDEX(Denetimler!$C:$C,MATCH($A329,Denetimler!$A:$A,0)),"No yok"))</f>
        <v/>
      </c>
      <c r="I329" s="19" t="str">
        <f aca="false">IF($A329="","",IFERROR(INDEX(Denetimler!$D:$D,MATCH($A329,Denetimler!$A:$A,0)),"No yok"))</f>
        <v/>
      </c>
      <c r="J329" s="19" t="str">
        <f aca="false">IF($A329="","",IFERROR(INDEX(Denetimler!$E:$E,MATCH($A329,Denetimler!$A:$A,0)),"No yok"))</f>
        <v/>
      </c>
      <c r="K329" s="25" t="str">
        <f aca="false">IF($A329="","",IFERROR(INDEX(Denetimler!$B:$B,MATCH($A329,Denetimler!$A:$A,0)),"No yok"))</f>
        <v/>
      </c>
    </row>
    <row r="330" customFormat="false" ht="15" hidden="false" customHeight="false" outlineLevel="0" collapsed="false">
      <c r="D330" s="19" t="str">
        <f aca="false">IF($B330="","",IFERROR(INDEX(Madde_Listesi!$C:$C,MATCH($B330,Madde_Listesi!$B:$B,0)),"Kod yok"))</f>
        <v/>
      </c>
      <c r="E330" s="19" t="str">
        <f aca="false">IF($B330="","",IFERROR(INDEX(Madde_Listesi!$D:$D,MATCH($B330,Madde_Listesi!$B:$B,0)),"Kod yok"))</f>
        <v/>
      </c>
      <c r="F330" s="19" t="str">
        <f aca="false">IF($B330="","",IFERROR(INDEX(Madde_Listesi!$E:$E,MATCH($B330,Madde_Listesi!$B:$B,0)),"Kod yok"))</f>
        <v/>
      </c>
      <c r="G330" s="19" t="str">
        <f aca="false">IF($B330="","",IFERROR(INDEX(Madde_Listesi!$F:$F,MATCH($B330,Madde_Listesi!$B:$B,0)),"Kod yok"))</f>
        <v/>
      </c>
      <c r="H330" s="19" t="str">
        <f aca="false">IF($A330="","",IFERROR(INDEX(Denetimler!$C:$C,MATCH($A330,Denetimler!$A:$A,0)),"No yok"))</f>
        <v/>
      </c>
      <c r="I330" s="19" t="str">
        <f aca="false">IF($A330="","",IFERROR(INDEX(Denetimler!$D:$D,MATCH($A330,Denetimler!$A:$A,0)),"No yok"))</f>
        <v/>
      </c>
      <c r="J330" s="19" t="str">
        <f aca="false">IF($A330="","",IFERROR(INDEX(Denetimler!$E:$E,MATCH($A330,Denetimler!$A:$A,0)),"No yok"))</f>
        <v/>
      </c>
      <c r="K330" s="25" t="str">
        <f aca="false">IF($A330="","",IFERROR(INDEX(Denetimler!$B:$B,MATCH($A330,Denetimler!$A:$A,0)),"No yok"))</f>
        <v/>
      </c>
    </row>
    <row r="331" customFormat="false" ht="15" hidden="false" customHeight="false" outlineLevel="0" collapsed="false">
      <c r="D331" s="19" t="str">
        <f aca="false">IF($B331="","",IFERROR(INDEX(Madde_Listesi!$C:$C,MATCH($B331,Madde_Listesi!$B:$B,0)),"Kod yok"))</f>
        <v/>
      </c>
      <c r="E331" s="19" t="str">
        <f aca="false">IF($B331="","",IFERROR(INDEX(Madde_Listesi!$D:$D,MATCH($B331,Madde_Listesi!$B:$B,0)),"Kod yok"))</f>
        <v/>
      </c>
      <c r="F331" s="19" t="str">
        <f aca="false">IF($B331="","",IFERROR(INDEX(Madde_Listesi!$E:$E,MATCH($B331,Madde_Listesi!$B:$B,0)),"Kod yok"))</f>
        <v/>
      </c>
      <c r="G331" s="19" t="str">
        <f aca="false">IF($B331="","",IFERROR(INDEX(Madde_Listesi!$F:$F,MATCH($B331,Madde_Listesi!$B:$B,0)),"Kod yok"))</f>
        <v/>
      </c>
      <c r="H331" s="19" t="str">
        <f aca="false">IF($A331="","",IFERROR(INDEX(Denetimler!$C:$C,MATCH($A331,Denetimler!$A:$A,0)),"No yok"))</f>
        <v/>
      </c>
      <c r="I331" s="19" t="str">
        <f aca="false">IF($A331="","",IFERROR(INDEX(Denetimler!$D:$D,MATCH($A331,Denetimler!$A:$A,0)),"No yok"))</f>
        <v/>
      </c>
      <c r="J331" s="19" t="str">
        <f aca="false">IF($A331="","",IFERROR(INDEX(Denetimler!$E:$E,MATCH($A331,Denetimler!$A:$A,0)),"No yok"))</f>
        <v/>
      </c>
      <c r="K331" s="25" t="str">
        <f aca="false">IF($A331="","",IFERROR(INDEX(Denetimler!$B:$B,MATCH($A331,Denetimler!$A:$A,0)),"No yok"))</f>
        <v/>
      </c>
    </row>
    <row r="332" customFormat="false" ht="15" hidden="false" customHeight="false" outlineLevel="0" collapsed="false">
      <c r="D332" s="19" t="str">
        <f aca="false">IF($B332="","",IFERROR(INDEX(Madde_Listesi!$C:$C,MATCH($B332,Madde_Listesi!$B:$B,0)),"Kod yok"))</f>
        <v/>
      </c>
      <c r="E332" s="19" t="str">
        <f aca="false">IF($B332="","",IFERROR(INDEX(Madde_Listesi!$D:$D,MATCH($B332,Madde_Listesi!$B:$B,0)),"Kod yok"))</f>
        <v/>
      </c>
      <c r="F332" s="19" t="str">
        <f aca="false">IF($B332="","",IFERROR(INDEX(Madde_Listesi!$E:$E,MATCH($B332,Madde_Listesi!$B:$B,0)),"Kod yok"))</f>
        <v/>
      </c>
      <c r="G332" s="19" t="str">
        <f aca="false">IF($B332="","",IFERROR(INDEX(Madde_Listesi!$F:$F,MATCH($B332,Madde_Listesi!$B:$B,0)),"Kod yok"))</f>
        <v/>
      </c>
      <c r="H332" s="19" t="str">
        <f aca="false">IF($A332="","",IFERROR(INDEX(Denetimler!$C:$C,MATCH($A332,Denetimler!$A:$A,0)),"No yok"))</f>
        <v/>
      </c>
      <c r="I332" s="19" t="str">
        <f aca="false">IF($A332="","",IFERROR(INDEX(Denetimler!$D:$D,MATCH($A332,Denetimler!$A:$A,0)),"No yok"))</f>
        <v/>
      </c>
      <c r="J332" s="19" t="str">
        <f aca="false">IF($A332="","",IFERROR(INDEX(Denetimler!$E:$E,MATCH($A332,Denetimler!$A:$A,0)),"No yok"))</f>
        <v/>
      </c>
      <c r="K332" s="25" t="str">
        <f aca="false">IF($A332="","",IFERROR(INDEX(Denetimler!$B:$B,MATCH($A332,Denetimler!$A:$A,0)),"No yok"))</f>
        <v/>
      </c>
    </row>
    <row r="333" customFormat="false" ht="15" hidden="false" customHeight="false" outlineLevel="0" collapsed="false">
      <c r="D333" s="19" t="str">
        <f aca="false">IF($B333="","",IFERROR(INDEX(Madde_Listesi!$C:$C,MATCH($B333,Madde_Listesi!$B:$B,0)),"Kod yok"))</f>
        <v/>
      </c>
      <c r="E333" s="19" t="str">
        <f aca="false">IF($B333="","",IFERROR(INDEX(Madde_Listesi!$D:$D,MATCH($B333,Madde_Listesi!$B:$B,0)),"Kod yok"))</f>
        <v/>
      </c>
      <c r="F333" s="19" t="str">
        <f aca="false">IF($B333="","",IFERROR(INDEX(Madde_Listesi!$E:$E,MATCH($B333,Madde_Listesi!$B:$B,0)),"Kod yok"))</f>
        <v/>
      </c>
      <c r="G333" s="19" t="str">
        <f aca="false">IF($B333="","",IFERROR(INDEX(Madde_Listesi!$F:$F,MATCH($B333,Madde_Listesi!$B:$B,0)),"Kod yok"))</f>
        <v/>
      </c>
      <c r="H333" s="19" t="str">
        <f aca="false">IF($A333="","",IFERROR(INDEX(Denetimler!$C:$C,MATCH($A333,Denetimler!$A:$A,0)),"No yok"))</f>
        <v/>
      </c>
      <c r="I333" s="19" t="str">
        <f aca="false">IF($A333="","",IFERROR(INDEX(Denetimler!$D:$D,MATCH($A333,Denetimler!$A:$A,0)),"No yok"))</f>
        <v/>
      </c>
      <c r="J333" s="19" t="str">
        <f aca="false">IF($A333="","",IFERROR(INDEX(Denetimler!$E:$E,MATCH($A333,Denetimler!$A:$A,0)),"No yok"))</f>
        <v/>
      </c>
      <c r="K333" s="25" t="str">
        <f aca="false">IF($A333="","",IFERROR(INDEX(Denetimler!$B:$B,MATCH($A333,Denetimler!$A:$A,0)),"No yok"))</f>
        <v/>
      </c>
    </row>
    <row r="334" customFormat="false" ht="15" hidden="false" customHeight="false" outlineLevel="0" collapsed="false">
      <c r="D334" s="19" t="str">
        <f aca="false">IF($B334="","",IFERROR(INDEX(Madde_Listesi!$C:$C,MATCH($B334,Madde_Listesi!$B:$B,0)),"Kod yok"))</f>
        <v/>
      </c>
      <c r="E334" s="19" t="str">
        <f aca="false">IF($B334="","",IFERROR(INDEX(Madde_Listesi!$D:$D,MATCH($B334,Madde_Listesi!$B:$B,0)),"Kod yok"))</f>
        <v/>
      </c>
      <c r="F334" s="19" t="str">
        <f aca="false">IF($B334="","",IFERROR(INDEX(Madde_Listesi!$E:$E,MATCH($B334,Madde_Listesi!$B:$B,0)),"Kod yok"))</f>
        <v/>
      </c>
      <c r="G334" s="19" t="str">
        <f aca="false">IF($B334="","",IFERROR(INDEX(Madde_Listesi!$F:$F,MATCH($B334,Madde_Listesi!$B:$B,0)),"Kod yok"))</f>
        <v/>
      </c>
      <c r="H334" s="19" t="str">
        <f aca="false">IF($A334="","",IFERROR(INDEX(Denetimler!$C:$C,MATCH($A334,Denetimler!$A:$A,0)),"No yok"))</f>
        <v/>
      </c>
      <c r="I334" s="19" t="str">
        <f aca="false">IF($A334="","",IFERROR(INDEX(Denetimler!$D:$D,MATCH($A334,Denetimler!$A:$A,0)),"No yok"))</f>
        <v/>
      </c>
      <c r="J334" s="19" t="str">
        <f aca="false">IF($A334="","",IFERROR(INDEX(Denetimler!$E:$E,MATCH($A334,Denetimler!$A:$A,0)),"No yok"))</f>
        <v/>
      </c>
      <c r="K334" s="25" t="str">
        <f aca="false">IF($A334="","",IFERROR(INDEX(Denetimler!$B:$B,MATCH($A334,Denetimler!$A:$A,0)),"No yok"))</f>
        <v/>
      </c>
    </row>
    <row r="335" customFormat="false" ht="15" hidden="false" customHeight="false" outlineLevel="0" collapsed="false">
      <c r="D335" s="19" t="str">
        <f aca="false">IF($B335="","",IFERROR(INDEX(Madde_Listesi!$C:$C,MATCH($B335,Madde_Listesi!$B:$B,0)),"Kod yok"))</f>
        <v/>
      </c>
      <c r="E335" s="19" t="str">
        <f aca="false">IF($B335="","",IFERROR(INDEX(Madde_Listesi!$D:$D,MATCH($B335,Madde_Listesi!$B:$B,0)),"Kod yok"))</f>
        <v/>
      </c>
      <c r="F335" s="19" t="str">
        <f aca="false">IF($B335="","",IFERROR(INDEX(Madde_Listesi!$E:$E,MATCH($B335,Madde_Listesi!$B:$B,0)),"Kod yok"))</f>
        <v/>
      </c>
      <c r="G335" s="19" t="str">
        <f aca="false">IF($B335="","",IFERROR(INDEX(Madde_Listesi!$F:$F,MATCH($B335,Madde_Listesi!$B:$B,0)),"Kod yok"))</f>
        <v/>
      </c>
      <c r="H335" s="19" t="str">
        <f aca="false">IF($A335="","",IFERROR(INDEX(Denetimler!$C:$C,MATCH($A335,Denetimler!$A:$A,0)),"No yok"))</f>
        <v/>
      </c>
      <c r="I335" s="19" t="str">
        <f aca="false">IF($A335="","",IFERROR(INDEX(Denetimler!$D:$D,MATCH($A335,Denetimler!$A:$A,0)),"No yok"))</f>
        <v/>
      </c>
      <c r="J335" s="19" t="str">
        <f aca="false">IF($A335="","",IFERROR(INDEX(Denetimler!$E:$E,MATCH($A335,Denetimler!$A:$A,0)),"No yok"))</f>
        <v/>
      </c>
      <c r="K335" s="25" t="str">
        <f aca="false">IF($A335="","",IFERROR(INDEX(Denetimler!$B:$B,MATCH($A335,Denetimler!$A:$A,0)),"No yok"))</f>
        <v/>
      </c>
    </row>
    <row r="336" customFormat="false" ht="15" hidden="false" customHeight="false" outlineLevel="0" collapsed="false">
      <c r="D336" s="19" t="str">
        <f aca="false">IF($B336="","",IFERROR(INDEX(Madde_Listesi!$C:$C,MATCH($B336,Madde_Listesi!$B:$B,0)),"Kod yok"))</f>
        <v/>
      </c>
      <c r="E336" s="19" t="str">
        <f aca="false">IF($B336="","",IFERROR(INDEX(Madde_Listesi!$D:$D,MATCH($B336,Madde_Listesi!$B:$B,0)),"Kod yok"))</f>
        <v/>
      </c>
      <c r="F336" s="19" t="str">
        <f aca="false">IF($B336="","",IFERROR(INDEX(Madde_Listesi!$E:$E,MATCH($B336,Madde_Listesi!$B:$B,0)),"Kod yok"))</f>
        <v/>
      </c>
      <c r="G336" s="19" t="str">
        <f aca="false">IF($B336="","",IFERROR(INDEX(Madde_Listesi!$F:$F,MATCH($B336,Madde_Listesi!$B:$B,0)),"Kod yok"))</f>
        <v/>
      </c>
      <c r="H336" s="19" t="str">
        <f aca="false">IF($A336="","",IFERROR(INDEX(Denetimler!$C:$C,MATCH($A336,Denetimler!$A:$A,0)),"No yok"))</f>
        <v/>
      </c>
      <c r="I336" s="19" t="str">
        <f aca="false">IF($A336="","",IFERROR(INDEX(Denetimler!$D:$D,MATCH($A336,Denetimler!$A:$A,0)),"No yok"))</f>
        <v/>
      </c>
      <c r="J336" s="19" t="str">
        <f aca="false">IF($A336="","",IFERROR(INDEX(Denetimler!$E:$E,MATCH($A336,Denetimler!$A:$A,0)),"No yok"))</f>
        <v/>
      </c>
      <c r="K336" s="25" t="str">
        <f aca="false">IF($A336="","",IFERROR(INDEX(Denetimler!$B:$B,MATCH($A336,Denetimler!$A:$A,0)),"No yok"))</f>
        <v/>
      </c>
    </row>
    <row r="337" customFormat="false" ht="15" hidden="false" customHeight="false" outlineLevel="0" collapsed="false">
      <c r="D337" s="19" t="str">
        <f aca="false">IF($B337="","",IFERROR(INDEX(Madde_Listesi!$C:$C,MATCH($B337,Madde_Listesi!$B:$B,0)),"Kod yok"))</f>
        <v/>
      </c>
      <c r="E337" s="19" t="str">
        <f aca="false">IF($B337="","",IFERROR(INDEX(Madde_Listesi!$D:$D,MATCH($B337,Madde_Listesi!$B:$B,0)),"Kod yok"))</f>
        <v/>
      </c>
      <c r="F337" s="19" t="str">
        <f aca="false">IF($B337="","",IFERROR(INDEX(Madde_Listesi!$E:$E,MATCH($B337,Madde_Listesi!$B:$B,0)),"Kod yok"))</f>
        <v/>
      </c>
      <c r="G337" s="19" t="str">
        <f aca="false">IF($B337="","",IFERROR(INDEX(Madde_Listesi!$F:$F,MATCH($B337,Madde_Listesi!$B:$B,0)),"Kod yok"))</f>
        <v/>
      </c>
      <c r="H337" s="19" t="str">
        <f aca="false">IF($A337="","",IFERROR(INDEX(Denetimler!$C:$C,MATCH($A337,Denetimler!$A:$A,0)),"No yok"))</f>
        <v/>
      </c>
      <c r="I337" s="19" t="str">
        <f aca="false">IF($A337="","",IFERROR(INDEX(Denetimler!$D:$D,MATCH($A337,Denetimler!$A:$A,0)),"No yok"))</f>
        <v/>
      </c>
      <c r="J337" s="19" t="str">
        <f aca="false">IF($A337="","",IFERROR(INDEX(Denetimler!$E:$E,MATCH($A337,Denetimler!$A:$A,0)),"No yok"))</f>
        <v/>
      </c>
      <c r="K337" s="25" t="str">
        <f aca="false">IF($A337="","",IFERROR(INDEX(Denetimler!$B:$B,MATCH($A337,Denetimler!$A:$A,0)),"No yok"))</f>
        <v/>
      </c>
    </row>
    <row r="338" customFormat="false" ht="15" hidden="false" customHeight="false" outlineLevel="0" collapsed="false">
      <c r="D338" s="19" t="str">
        <f aca="false">IF($B338="","",IFERROR(INDEX(Madde_Listesi!$C:$C,MATCH($B338,Madde_Listesi!$B:$B,0)),"Kod yok"))</f>
        <v/>
      </c>
      <c r="E338" s="19" t="str">
        <f aca="false">IF($B338="","",IFERROR(INDEX(Madde_Listesi!$D:$D,MATCH($B338,Madde_Listesi!$B:$B,0)),"Kod yok"))</f>
        <v/>
      </c>
      <c r="F338" s="19" t="str">
        <f aca="false">IF($B338="","",IFERROR(INDEX(Madde_Listesi!$E:$E,MATCH($B338,Madde_Listesi!$B:$B,0)),"Kod yok"))</f>
        <v/>
      </c>
      <c r="G338" s="19" t="str">
        <f aca="false">IF($B338="","",IFERROR(INDEX(Madde_Listesi!$F:$F,MATCH($B338,Madde_Listesi!$B:$B,0)),"Kod yok"))</f>
        <v/>
      </c>
      <c r="H338" s="19" t="str">
        <f aca="false">IF($A338="","",IFERROR(INDEX(Denetimler!$C:$C,MATCH($A338,Denetimler!$A:$A,0)),"No yok"))</f>
        <v/>
      </c>
      <c r="I338" s="19" t="str">
        <f aca="false">IF($A338="","",IFERROR(INDEX(Denetimler!$D:$D,MATCH($A338,Denetimler!$A:$A,0)),"No yok"))</f>
        <v/>
      </c>
      <c r="J338" s="19" t="str">
        <f aca="false">IF($A338="","",IFERROR(INDEX(Denetimler!$E:$E,MATCH($A338,Denetimler!$A:$A,0)),"No yok"))</f>
        <v/>
      </c>
      <c r="K338" s="25" t="str">
        <f aca="false">IF($A338="","",IFERROR(INDEX(Denetimler!$B:$B,MATCH($A338,Denetimler!$A:$A,0)),"No yok"))</f>
        <v/>
      </c>
    </row>
    <row r="339" customFormat="false" ht="15" hidden="false" customHeight="false" outlineLevel="0" collapsed="false">
      <c r="D339" s="19" t="str">
        <f aca="false">IF($B339="","",IFERROR(INDEX(Madde_Listesi!$C:$C,MATCH($B339,Madde_Listesi!$B:$B,0)),"Kod yok"))</f>
        <v/>
      </c>
      <c r="E339" s="19" t="str">
        <f aca="false">IF($B339="","",IFERROR(INDEX(Madde_Listesi!$D:$D,MATCH($B339,Madde_Listesi!$B:$B,0)),"Kod yok"))</f>
        <v/>
      </c>
      <c r="F339" s="19" t="str">
        <f aca="false">IF($B339="","",IFERROR(INDEX(Madde_Listesi!$E:$E,MATCH($B339,Madde_Listesi!$B:$B,0)),"Kod yok"))</f>
        <v/>
      </c>
      <c r="G339" s="19" t="str">
        <f aca="false">IF($B339="","",IFERROR(INDEX(Madde_Listesi!$F:$F,MATCH($B339,Madde_Listesi!$B:$B,0)),"Kod yok"))</f>
        <v/>
      </c>
      <c r="H339" s="19" t="str">
        <f aca="false">IF($A339="","",IFERROR(INDEX(Denetimler!$C:$C,MATCH($A339,Denetimler!$A:$A,0)),"No yok"))</f>
        <v/>
      </c>
      <c r="I339" s="19" t="str">
        <f aca="false">IF($A339="","",IFERROR(INDEX(Denetimler!$D:$D,MATCH($A339,Denetimler!$A:$A,0)),"No yok"))</f>
        <v/>
      </c>
      <c r="J339" s="19" t="str">
        <f aca="false">IF($A339="","",IFERROR(INDEX(Denetimler!$E:$E,MATCH($A339,Denetimler!$A:$A,0)),"No yok"))</f>
        <v/>
      </c>
      <c r="K339" s="25" t="str">
        <f aca="false">IF($A339="","",IFERROR(INDEX(Denetimler!$B:$B,MATCH($A339,Denetimler!$A:$A,0)),"No yok"))</f>
        <v/>
      </c>
    </row>
    <row r="340" customFormat="false" ht="15" hidden="false" customHeight="false" outlineLevel="0" collapsed="false">
      <c r="D340" s="19" t="str">
        <f aca="false">IF($B340="","",IFERROR(INDEX(Madde_Listesi!$C:$C,MATCH($B340,Madde_Listesi!$B:$B,0)),"Kod yok"))</f>
        <v/>
      </c>
      <c r="E340" s="19" t="str">
        <f aca="false">IF($B340="","",IFERROR(INDEX(Madde_Listesi!$D:$D,MATCH($B340,Madde_Listesi!$B:$B,0)),"Kod yok"))</f>
        <v/>
      </c>
      <c r="F340" s="19" t="str">
        <f aca="false">IF($B340="","",IFERROR(INDEX(Madde_Listesi!$E:$E,MATCH($B340,Madde_Listesi!$B:$B,0)),"Kod yok"))</f>
        <v/>
      </c>
      <c r="G340" s="19" t="str">
        <f aca="false">IF($B340="","",IFERROR(INDEX(Madde_Listesi!$F:$F,MATCH($B340,Madde_Listesi!$B:$B,0)),"Kod yok"))</f>
        <v/>
      </c>
      <c r="H340" s="19" t="str">
        <f aca="false">IF($A340="","",IFERROR(INDEX(Denetimler!$C:$C,MATCH($A340,Denetimler!$A:$A,0)),"No yok"))</f>
        <v/>
      </c>
      <c r="I340" s="19" t="str">
        <f aca="false">IF($A340="","",IFERROR(INDEX(Denetimler!$D:$D,MATCH($A340,Denetimler!$A:$A,0)),"No yok"))</f>
        <v/>
      </c>
      <c r="J340" s="19" t="str">
        <f aca="false">IF($A340="","",IFERROR(INDEX(Denetimler!$E:$E,MATCH($A340,Denetimler!$A:$A,0)),"No yok"))</f>
        <v/>
      </c>
      <c r="K340" s="25" t="str">
        <f aca="false">IF($A340="","",IFERROR(INDEX(Denetimler!$B:$B,MATCH($A340,Denetimler!$A:$A,0)),"No yok"))</f>
        <v/>
      </c>
    </row>
    <row r="341" customFormat="false" ht="15" hidden="false" customHeight="false" outlineLevel="0" collapsed="false">
      <c r="D341" s="19" t="str">
        <f aca="false">IF($B341="","",IFERROR(INDEX(Madde_Listesi!$C:$C,MATCH($B341,Madde_Listesi!$B:$B,0)),"Kod yok"))</f>
        <v/>
      </c>
      <c r="E341" s="19" t="str">
        <f aca="false">IF($B341="","",IFERROR(INDEX(Madde_Listesi!$D:$D,MATCH($B341,Madde_Listesi!$B:$B,0)),"Kod yok"))</f>
        <v/>
      </c>
      <c r="F341" s="19" t="str">
        <f aca="false">IF($B341="","",IFERROR(INDEX(Madde_Listesi!$E:$E,MATCH($B341,Madde_Listesi!$B:$B,0)),"Kod yok"))</f>
        <v/>
      </c>
      <c r="G341" s="19" t="str">
        <f aca="false">IF($B341="","",IFERROR(INDEX(Madde_Listesi!$F:$F,MATCH($B341,Madde_Listesi!$B:$B,0)),"Kod yok"))</f>
        <v/>
      </c>
      <c r="H341" s="19" t="str">
        <f aca="false">IF($A341="","",IFERROR(INDEX(Denetimler!$C:$C,MATCH($A341,Denetimler!$A:$A,0)),"No yok"))</f>
        <v/>
      </c>
      <c r="I341" s="19" t="str">
        <f aca="false">IF($A341="","",IFERROR(INDEX(Denetimler!$D:$D,MATCH($A341,Denetimler!$A:$A,0)),"No yok"))</f>
        <v/>
      </c>
      <c r="J341" s="19" t="str">
        <f aca="false">IF($A341="","",IFERROR(INDEX(Denetimler!$E:$E,MATCH($A341,Denetimler!$A:$A,0)),"No yok"))</f>
        <v/>
      </c>
      <c r="K341" s="25" t="str">
        <f aca="false">IF($A341="","",IFERROR(INDEX(Denetimler!$B:$B,MATCH($A341,Denetimler!$A:$A,0)),"No yok"))</f>
        <v/>
      </c>
    </row>
    <row r="342" customFormat="false" ht="15" hidden="false" customHeight="false" outlineLevel="0" collapsed="false">
      <c r="D342" s="19" t="str">
        <f aca="false">IF($B342="","",IFERROR(INDEX(Madde_Listesi!$C:$C,MATCH($B342,Madde_Listesi!$B:$B,0)),"Kod yok"))</f>
        <v/>
      </c>
      <c r="E342" s="19" t="str">
        <f aca="false">IF($B342="","",IFERROR(INDEX(Madde_Listesi!$D:$D,MATCH($B342,Madde_Listesi!$B:$B,0)),"Kod yok"))</f>
        <v/>
      </c>
      <c r="F342" s="19" t="str">
        <f aca="false">IF($B342="","",IFERROR(INDEX(Madde_Listesi!$E:$E,MATCH($B342,Madde_Listesi!$B:$B,0)),"Kod yok"))</f>
        <v/>
      </c>
      <c r="G342" s="19" t="str">
        <f aca="false">IF($B342="","",IFERROR(INDEX(Madde_Listesi!$F:$F,MATCH($B342,Madde_Listesi!$B:$B,0)),"Kod yok"))</f>
        <v/>
      </c>
      <c r="H342" s="19" t="str">
        <f aca="false">IF($A342="","",IFERROR(INDEX(Denetimler!$C:$C,MATCH($A342,Denetimler!$A:$A,0)),"No yok"))</f>
        <v/>
      </c>
      <c r="I342" s="19" t="str">
        <f aca="false">IF($A342="","",IFERROR(INDEX(Denetimler!$D:$D,MATCH($A342,Denetimler!$A:$A,0)),"No yok"))</f>
        <v/>
      </c>
      <c r="J342" s="19" t="str">
        <f aca="false">IF($A342="","",IFERROR(INDEX(Denetimler!$E:$E,MATCH($A342,Denetimler!$A:$A,0)),"No yok"))</f>
        <v/>
      </c>
      <c r="K342" s="25" t="str">
        <f aca="false">IF($A342="","",IFERROR(INDEX(Denetimler!$B:$B,MATCH($A342,Denetimler!$A:$A,0)),"No yok"))</f>
        <v/>
      </c>
    </row>
    <row r="343" customFormat="false" ht="15" hidden="false" customHeight="false" outlineLevel="0" collapsed="false">
      <c r="D343" s="19" t="str">
        <f aca="false">IF($B343="","",IFERROR(INDEX(Madde_Listesi!$C:$C,MATCH($B343,Madde_Listesi!$B:$B,0)),"Kod yok"))</f>
        <v/>
      </c>
      <c r="E343" s="19" t="str">
        <f aca="false">IF($B343="","",IFERROR(INDEX(Madde_Listesi!$D:$D,MATCH($B343,Madde_Listesi!$B:$B,0)),"Kod yok"))</f>
        <v/>
      </c>
      <c r="F343" s="19" t="str">
        <f aca="false">IF($B343="","",IFERROR(INDEX(Madde_Listesi!$E:$E,MATCH($B343,Madde_Listesi!$B:$B,0)),"Kod yok"))</f>
        <v/>
      </c>
      <c r="G343" s="19" t="str">
        <f aca="false">IF($B343="","",IFERROR(INDEX(Madde_Listesi!$F:$F,MATCH($B343,Madde_Listesi!$B:$B,0)),"Kod yok"))</f>
        <v/>
      </c>
      <c r="H343" s="19" t="str">
        <f aca="false">IF($A343="","",IFERROR(INDEX(Denetimler!$C:$C,MATCH($A343,Denetimler!$A:$A,0)),"No yok"))</f>
        <v/>
      </c>
      <c r="I343" s="19" t="str">
        <f aca="false">IF($A343="","",IFERROR(INDEX(Denetimler!$D:$D,MATCH($A343,Denetimler!$A:$A,0)),"No yok"))</f>
        <v/>
      </c>
      <c r="J343" s="19" t="str">
        <f aca="false">IF($A343="","",IFERROR(INDEX(Denetimler!$E:$E,MATCH($A343,Denetimler!$A:$A,0)),"No yok"))</f>
        <v/>
      </c>
      <c r="K343" s="25" t="str">
        <f aca="false">IF($A343="","",IFERROR(INDEX(Denetimler!$B:$B,MATCH($A343,Denetimler!$A:$A,0)),"No yok"))</f>
        <v/>
      </c>
    </row>
    <row r="344" customFormat="false" ht="15" hidden="false" customHeight="false" outlineLevel="0" collapsed="false">
      <c r="D344" s="19" t="str">
        <f aca="false">IF($B344="","",IFERROR(INDEX(Madde_Listesi!$C:$C,MATCH($B344,Madde_Listesi!$B:$B,0)),"Kod yok"))</f>
        <v/>
      </c>
      <c r="E344" s="19" t="str">
        <f aca="false">IF($B344="","",IFERROR(INDEX(Madde_Listesi!$D:$D,MATCH($B344,Madde_Listesi!$B:$B,0)),"Kod yok"))</f>
        <v/>
      </c>
      <c r="F344" s="19" t="str">
        <f aca="false">IF($B344="","",IFERROR(INDEX(Madde_Listesi!$E:$E,MATCH($B344,Madde_Listesi!$B:$B,0)),"Kod yok"))</f>
        <v/>
      </c>
      <c r="G344" s="19" t="str">
        <f aca="false">IF($B344="","",IFERROR(INDEX(Madde_Listesi!$F:$F,MATCH($B344,Madde_Listesi!$B:$B,0)),"Kod yok"))</f>
        <v/>
      </c>
      <c r="H344" s="19" t="str">
        <f aca="false">IF($A344="","",IFERROR(INDEX(Denetimler!$C:$C,MATCH($A344,Denetimler!$A:$A,0)),"No yok"))</f>
        <v/>
      </c>
      <c r="I344" s="19" t="str">
        <f aca="false">IF($A344="","",IFERROR(INDEX(Denetimler!$D:$D,MATCH($A344,Denetimler!$A:$A,0)),"No yok"))</f>
        <v/>
      </c>
      <c r="J344" s="19" t="str">
        <f aca="false">IF($A344="","",IFERROR(INDEX(Denetimler!$E:$E,MATCH($A344,Denetimler!$A:$A,0)),"No yok"))</f>
        <v/>
      </c>
      <c r="K344" s="25" t="str">
        <f aca="false">IF($A344="","",IFERROR(INDEX(Denetimler!$B:$B,MATCH($A344,Denetimler!$A:$A,0)),"No yok"))</f>
        <v/>
      </c>
    </row>
    <row r="345" customFormat="false" ht="15" hidden="false" customHeight="false" outlineLevel="0" collapsed="false">
      <c r="D345" s="19" t="str">
        <f aca="false">IF($B345="","",IFERROR(INDEX(Madde_Listesi!$C:$C,MATCH($B345,Madde_Listesi!$B:$B,0)),"Kod yok"))</f>
        <v/>
      </c>
      <c r="E345" s="19" t="str">
        <f aca="false">IF($B345="","",IFERROR(INDEX(Madde_Listesi!$D:$D,MATCH($B345,Madde_Listesi!$B:$B,0)),"Kod yok"))</f>
        <v/>
      </c>
      <c r="F345" s="19" t="str">
        <f aca="false">IF($B345="","",IFERROR(INDEX(Madde_Listesi!$E:$E,MATCH($B345,Madde_Listesi!$B:$B,0)),"Kod yok"))</f>
        <v/>
      </c>
      <c r="G345" s="19" t="str">
        <f aca="false">IF($B345="","",IFERROR(INDEX(Madde_Listesi!$F:$F,MATCH($B345,Madde_Listesi!$B:$B,0)),"Kod yok"))</f>
        <v/>
      </c>
      <c r="H345" s="19" t="str">
        <f aca="false">IF($A345="","",IFERROR(INDEX(Denetimler!$C:$C,MATCH($A345,Denetimler!$A:$A,0)),"No yok"))</f>
        <v/>
      </c>
      <c r="I345" s="19" t="str">
        <f aca="false">IF($A345="","",IFERROR(INDEX(Denetimler!$D:$D,MATCH($A345,Denetimler!$A:$A,0)),"No yok"))</f>
        <v/>
      </c>
      <c r="J345" s="19" t="str">
        <f aca="false">IF($A345="","",IFERROR(INDEX(Denetimler!$E:$E,MATCH($A345,Denetimler!$A:$A,0)),"No yok"))</f>
        <v/>
      </c>
      <c r="K345" s="25" t="str">
        <f aca="false">IF($A345="","",IFERROR(INDEX(Denetimler!$B:$B,MATCH($A345,Denetimler!$A:$A,0)),"No yok"))</f>
        <v/>
      </c>
    </row>
    <row r="346" customFormat="false" ht="15" hidden="false" customHeight="false" outlineLevel="0" collapsed="false">
      <c r="D346" s="19" t="str">
        <f aca="false">IF($B346="","",IFERROR(INDEX(Madde_Listesi!$C:$C,MATCH($B346,Madde_Listesi!$B:$B,0)),"Kod yok"))</f>
        <v/>
      </c>
      <c r="E346" s="19" t="str">
        <f aca="false">IF($B346="","",IFERROR(INDEX(Madde_Listesi!$D:$D,MATCH($B346,Madde_Listesi!$B:$B,0)),"Kod yok"))</f>
        <v/>
      </c>
      <c r="F346" s="19" t="str">
        <f aca="false">IF($B346="","",IFERROR(INDEX(Madde_Listesi!$E:$E,MATCH($B346,Madde_Listesi!$B:$B,0)),"Kod yok"))</f>
        <v/>
      </c>
      <c r="G346" s="19" t="str">
        <f aca="false">IF($B346="","",IFERROR(INDEX(Madde_Listesi!$F:$F,MATCH($B346,Madde_Listesi!$B:$B,0)),"Kod yok"))</f>
        <v/>
      </c>
      <c r="H346" s="19" t="str">
        <f aca="false">IF($A346="","",IFERROR(INDEX(Denetimler!$C:$C,MATCH($A346,Denetimler!$A:$A,0)),"No yok"))</f>
        <v/>
      </c>
      <c r="I346" s="19" t="str">
        <f aca="false">IF($A346="","",IFERROR(INDEX(Denetimler!$D:$D,MATCH($A346,Denetimler!$A:$A,0)),"No yok"))</f>
        <v/>
      </c>
      <c r="J346" s="19" t="str">
        <f aca="false">IF($A346="","",IFERROR(INDEX(Denetimler!$E:$E,MATCH($A346,Denetimler!$A:$A,0)),"No yok"))</f>
        <v/>
      </c>
      <c r="K346" s="25" t="str">
        <f aca="false">IF($A346="","",IFERROR(INDEX(Denetimler!$B:$B,MATCH($A346,Denetimler!$A:$A,0)),"No yok"))</f>
        <v/>
      </c>
    </row>
    <row r="347" customFormat="false" ht="15" hidden="false" customHeight="false" outlineLevel="0" collapsed="false">
      <c r="D347" s="19" t="str">
        <f aca="false">IF($B347="","",IFERROR(INDEX(Madde_Listesi!$C:$C,MATCH($B347,Madde_Listesi!$B:$B,0)),"Kod yok"))</f>
        <v/>
      </c>
      <c r="E347" s="19" t="str">
        <f aca="false">IF($B347="","",IFERROR(INDEX(Madde_Listesi!$D:$D,MATCH($B347,Madde_Listesi!$B:$B,0)),"Kod yok"))</f>
        <v/>
      </c>
      <c r="F347" s="19" t="str">
        <f aca="false">IF($B347="","",IFERROR(INDEX(Madde_Listesi!$E:$E,MATCH($B347,Madde_Listesi!$B:$B,0)),"Kod yok"))</f>
        <v/>
      </c>
      <c r="G347" s="19" t="str">
        <f aca="false">IF($B347="","",IFERROR(INDEX(Madde_Listesi!$F:$F,MATCH($B347,Madde_Listesi!$B:$B,0)),"Kod yok"))</f>
        <v/>
      </c>
      <c r="H347" s="19" t="str">
        <f aca="false">IF($A347="","",IFERROR(INDEX(Denetimler!$C:$C,MATCH($A347,Denetimler!$A:$A,0)),"No yok"))</f>
        <v/>
      </c>
      <c r="I347" s="19" t="str">
        <f aca="false">IF($A347="","",IFERROR(INDEX(Denetimler!$D:$D,MATCH($A347,Denetimler!$A:$A,0)),"No yok"))</f>
        <v/>
      </c>
      <c r="J347" s="19" t="str">
        <f aca="false">IF($A347="","",IFERROR(INDEX(Denetimler!$E:$E,MATCH($A347,Denetimler!$A:$A,0)),"No yok"))</f>
        <v/>
      </c>
      <c r="K347" s="25" t="str">
        <f aca="false">IF($A347="","",IFERROR(INDEX(Denetimler!$B:$B,MATCH($A347,Denetimler!$A:$A,0)),"No yok"))</f>
        <v/>
      </c>
    </row>
    <row r="348" customFormat="false" ht="15" hidden="false" customHeight="false" outlineLevel="0" collapsed="false">
      <c r="D348" s="19" t="str">
        <f aca="false">IF($B348="","",IFERROR(INDEX(Madde_Listesi!$C:$C,MATCH($B348,Madde_Listesi!$B:$B,0)),"Kod yok"))</f>
        <v/>
      </c>
      <c r="E348" s="19" t="str">
        <f aca="false">IF($B348="","",IFERROR(INDEX(Madde_Listesi!$D:$D,MATCH($B348,Madde_Listesi!$B:$B,0)),"Kod yok"))</f>
        <v/>
      </c>
      <c r="F348" s="19" t="str">
        <f aca="false">IF($B348="","",IFERROR(INDEX(Madde_Listesi!$E:$E,MATCH($B348,Madde_Listesi!$B:$B,0)),"Kod yok"))</f>
        <v/>
      </c>
      <c r="G348" s="19" t="str">
        <f aca="false">IF($B348="","",IFERROR(INDEX(Madde_Listesi!$F:$F,MATCH($B348,Madde_Listesi!$B:$B,0)),"Kod yok"))</f>
        <v/>
      </c>
      <c r="H348" s="19" t="str">
        <f aca="false">IF($A348="","",IFERROR(INDEX(Denetimler!$C:$C,MATCH($A348,Denetimler!$A:$A,0)),"No yok"))</f>
        <v/>
      </c>
      <c r="I348" s="19" t="str">
        <f aca="false">IF($A348="","",IFERROR(INDEX(Denetimler!$D:$D,MATCH($A348,Denetimler!$A:$A,0)),"No yok"))</f>
        <v/>
      </c>
      <c r="J348" s="19" t="str">
        <f aca="false">IF($A348="","",IFERROR(INDEX(Denetimler!$E:$E,MATCH($A348,Denetimler!$A:$A,0)),"No yok"))</f>
        <v/>
      </c>
      <c r="K348" s="25" t="str">
        <f aca="false">IF($A348="","",IFERROR(INDEX(Denetimler!$B:$B,MATCH($A348,Denetimler!$A:$A,0)),"No yok"))</f>
        <v/>
      </c>
    </row>
    <row r="349" customFormat="false" ht="15" hidden="false" customHeight="false" outlineLevel="0" collapsed="false">
      <c r="D349" s="19" t="str">
        <f aca="false">IF($B349="","",IFERROR(INDEX(Madde_Listesi!$C:$C,MATCH($B349,Madde_Listesi!$B:$B,0)),"Kod yok"))</f>
        <v/>
      </c>
      <c r="E349" s="19" t="str">
        <f aca="false">IF($B349="","",IFERROR(INDEX(Madde_Listesi!$D:$D,MATCH($B349,Madde_Listesi!$B:$B,0)),"Kod yok"))</f>
        <v/>
      </c>
      <c r="F349" s="19" t="str">
        <f aca="false">IF($B349="","",IFERROR(INDEX(Madde_Listesi!$E:$E,MATCH($B349,Madde_Listesi!$B:$B,0)),"Kod yok"))</f>
        <v/>
      </c>
      <c r="G349" s="19" t="str">
        <f aca="false">IF($B349="","",IFERROR(INDEX(Madde_Listesi!$F:$F,MATCH($B349,Madde_Listesi!$B:$B,0)),"Kod yok"))</f>
        <v/>
      </c>
      <c r="H349" s="19" t="str">
        <f aca="false">IF($A349="","",IFERROR(INDEX(Denetimler!$C:$C,MATCH($A349,Denetimler!$A:$A,0)),"No yok"))</f>
        <v/>
      </c>
      <c r="I349" s="19" t="str">
        <f aca="false">IF($A349="","",IFERROR(INDEX(Denetimler!$D:$D,MATCH($A349,Denetimler!$A:$A,0)),"No yok"))</f>
        <v/>
      </c>
      <c r="J349" s="19" t="str">
        <f aca="false">IF($A349="","",IFERROR(INDEX(Denetimler!$E:$E,MATCH($A349,Denetimler!$A:$A,0)),"No yok"))</f>
        <v/>
      </c>
      <c r="K349" s="25" t="str">
        <f aca="false">IF($A349="","",IFERROR(INDEX(Denetimler!$B:$B,MATCH($A349,Denetimler!$A:$A,0)),"No yok"))</f>
        <v/>
      </c>
    </row>
    <row r="350" customFormat="false" ht="15" hidden="false" customHeight="false" outlineLevel="0" collapsed="false">
      <c r="D350" s="19" t="str">
        <f aca="false">IF($B350="","",IFERROR(INDEX(Madde_Listesi!$C:$C,MATCH($B350,Madde_Listesi!$B:$B,0)),"Kod yok"))</f>
        <v/>
      </c>
      <c r="E350" s="19" t="str">
        <f aca="false">IF($B350="","",IFERROR(INDEX(Madde_Listesi!$D:$D,MATCH($B350,Madde_Listesi!$B:$B,0)),"Kod yok"))</f>
        <v/>
      </c>
      <c r="F350" s="19" t="str">
        <f aca="false">IF($B350="","",IFERROR(INDEX(Madde_Listesi!$E:$E,MATCH($B350,Madde_Listesi!$B:$B,0)),"Kod yok"))</f>
        <v/>
      </c>
      <c r="G350" s="19" t="str">
        <f aca="false">IF($B350="","",IFERROR(INDEX(Madde_Listesi!$F:$F,MATCH($B350,Madde_Listesi!$B:$B,0)),"Kod yok"))</f>
        <v/>
      </c>
      <c r="H350" s="19" t="str">
        <f aca="false">IF($A350="","",IFERROR(INDEX(Denetimler!$C:$C,MATCH($A350,Denetimler!$A:$A,0)),"No yok"))</f>
        <v/>
      </c>
      <c r="I350" s="19" t="str">
        <f aca="false">IF($A350="","",IFERROR(INDEX(Denetimler!$D:$D,MATCH($A350,Denetimler!$A:$A,0)),"No yok"))</f>
        <v/>
      </c>
      <c r="J350" s="19" t="str">
        <f aca="false">IF($A350="","",IFERROR(INDEX(Denetimler!$E:$E,MATCH($A350,Denetimler!$A:$A,0)),"No yok"))</f>
        <v/>
      </c>
      <c r="K350" s="25" t="str">
        <f aca="false">IF($A350="","",IFERROR(INDEX(Denetimler!$B:$B,MATCH($A350,Denetimler!$A:$A,0)),"No yok"))</f>
        <v/>
      </c>
    </row>
    <row r="351" customFormat="false" ht="15" hidden="false" customHeight="false" outlineLevel="0" collapsed="false">
      <c r="D351" s="19" t="str">
        <f aca="false">IF($B351="","",IFERROR(INDEX(Madde_Listesi!$C:$C,MATCH($B351,Madde_Listesi!$B:$B,0)),"Kod yok"))</f>
        <v/>
      </c>
      <c r="E351" s="19" t="str">
        <f aca="false">IF($B351="","",IFERROR(INDEX(Madde_Listesi!$D:$D,MATCH($B351,Madde_Listesi!$B:$B,0)),"Kod yok"))</f>
        <v/>
      </c>
      <c r="F351" s="19" t="str">
        <f aca="false">IF($B351="","",IFERROR(INDEX(Madde_Listesi!$E:$E,MATCH($B351,Madde_Listesi!$B:$B,0)),"Kod yok"))</f>
        <v/>
      </c>
      <c r="G351" s="19" t="str">
        <f aca="false">IF($B351="","",IFERROR(INDEX(Madde_Listesi!$F:$F,MATCH($B351,Madde_Listesi!$B:$B,0)),"Kod yok"))</f>
        <v/>
      </c>
      <c r="H351" s="19" t="str">
        <f aca="false">IF($A351="","",IFERROR(INDEX(Denetimler!$C:$C,MATCH($A351,Denetimler!$A:$A,0)),"No yok"))</f>
        <v/>
      </c>
      <c r="I351" s="19" t="str">
        <f aca="false">IF($A351="","",IFERROR(INDEX(Denetimler!$D:$D,MATCH($A351,Denetimler!$A:$A,0)),"No yok"))</f>
        <v/>
      </c>
      <c r="J351" s="19" t="str">
        <f aca="false">IF($A351="","",IFERROR(INDEX(Denetimler!$E:$E,MATCH($A351,Denetimler!$A:$A,0)),"No yok"))</f>
        <v/>
      </c>
      <c r="K351" s="25" t="str">
        <f aca="false">IF($A351="","",IFERROR(INDEX(Denetimler!$B:$B,MATCH($A351,Denetimler!$A:$A,0)),"No yok"))</f>
        <v/>
      </c>
    </row>
    <row r="352" customFormat="false" ht="15" hidden="false" customHeight="false" outlineLevel="0" collapsed="false">
      <c r="D352" s="19" t="str">
        <f aca="false">IF($B352="","",IFERROR(INDEX(Madde_Listesi!$C:$C,MATCH($B352,Madde_Listesi!$B:$B,0)),"Kod yok"))</f>
        <v/>
      </c>
      <c r="E352" s="19" t="str">
        <f aca="false">IF($B352="","",IFERROR(INDEX(Madde_Listesi!$D:$D,MATCH($B352,Madde_Listesi!$B:$B,0)),"Kod yok"))</f>
        <v/>
      </c>
      <c r="F352" s="19" t="str">
        <f aca="false">IF($B352="","",IFERROR(INDEX(Madde_Listesi!$E:$E,MATCH($B352,Madde_Listesi!$B:$B,0)),"Kod yok"))</f>
        <v/>
      </c>
      <c r="G352" s="19" t="str">
        <f aca="false">IF($B352="","",IFERROR(INDEX(Madde_Listesi!$F:$F,MATCH($B352,Madde_Listesi!$B:$B,0)),"Kod yok"))</f>
        <v/>
      </c>
      <c r="H352" s="19" t="str">
        <f aca="false">IF($A352="","",IFERROR(INDEX(Denetimler!$C:$C,MATCH($A352,Denetimler!$A:$A,0)),"No yok"))</f>
        <v/>
      </c>
      <c r="I352" s="19" t="str">
        <f aca="false">IF($A352="","",IFERROR(INDEX(Denetimler!$D:$D,MATCH($A352,Denetimler!$A:$A,0)),"No yok"))</f>
        <v/>
      </c>
      <c r="J352" s="19" t="str">
        <f aca="false">IF($A352="","",IFERROR(INDEX(Denetimler!$E:$E,MATCH($A352,Denetimler!$A:$A,0)),"No yok"))</f>
        <v/>
      </c>
      <c r="K352" s="25" t="str">
        <f aca="false">IF($A352="","",IFERROR(INDEX(Denetimler!$B:$B,MATCH($A352,Denetimler!$A:$A,0)),"No yok"))</f>
        <v/>
      </c>
    </row>
    <row r="353" customFormat="false" ht="15" hidden="false" customHeight="false" outlineLevel="0" collapsed="false">
      <c r="D353" s="19" t="str">
        <f aca="false">IF($B353="","",IFERROR(INDEX(Madde_Listesi!$C:$C,MATCH($B353,Madde_Listesi!$B:$B,0)),"Kod yok"))</f>
        <v/>
      </c>
      <c r="E353" s="19" t="str">
        <f aca="false">IF($B353="","",IFERROR(INDEX(Madde_Listesi!$D:$D,MATCH($B353,Madde_Listesi!$B:$B,0)),"Kod yok"))</f>
        <v/>
      </c>
      <c r="F353" s="19" t="str">
        <f aca="false">IF($B353="","",IFERROR(INDEX(Madde_Listesi!$E:$E,MATCH($B353,Madde_Listesi!$B:$B,0)),"Kod yok"))</f>
        <v/>
      </c>
      <c r="G353" s="19" t="str">
        <f aca="false">IF($B353="","",IFERROR(INDEX(Madde_Listesi!$F:$F,MATCH($B353,Madde_Listesi!$B:$B,0)),"Kod yok"))</f>
        <v/>
      </c>
      <c r="H353" s="19" t="str">
        <f aca="false">IF($A353="","",IFERROR(INDEX(Denetimler!$C:$C,MATCH($A353,Denetimler!$A:$A,0)),"No yok"))</f>
        <v/>
      </c>
      <c r="I353" s="19" t="str">
        <f aca="false">IF($A353="","",IFERROR(INDEX(Denetimler!$D:$D,MATCH($A353,Denetimler!$A:$A,0)),"No yok"))</f>
        <v/>
      </c>
      <c r="J353" s="19" t="str">
        <f aca="false">IF($A353="","",IFERROR(INDEX(Denetimler!$E:$E,MATCH($A353,Denetimler!$A:$A,0)),"No yok"))</f>
        <v/>
      </c>
      <c r="K353" s="25" t="str">
        <f aca="false">IF($A353="","",IFERROR(INDEX(Denetimler!$B:$B,MATCH($A353,Denetimler!$A:$A,0)),"No yok"))</f>
        <v/>
      </c>
    </row>
    <row r="354" customFormat="false" ht="15" hidden="false" customHeight="false" outlineLevel="0" collapsed="false">
      <c r="D354" s="19" t="str">
        <f aca="false">IF($B354="","",IFERROR(INDEX(Madde_Listesi!$C:$C,MATCH($B354,Madde_Listesi!$B:$B,0)),"Kod yok"))</f>
        <v/>
      </c>
      <c r="E354" s="19" t="str">
        <f aca="false">IF($B354="","",IFERROR(INDEX(Madde_Listesi!$D:$D,MATCH($B354,Madde_Listesi!$B:$B,0)),"Kod yok"))</f>
        <v/>
      </c>
      <c r="F354" s="19" t="str">
        <f aca="false">IF($B354="","",IFERROR(INDEX(Madde_Listesi!$E:$E,MATCH($B354,Madde_Listesi!$B:$B,0)),"Kod yok"))</f>
        <v/>
      </c>
      <c r="G354" s="19" t="str">
        <f aca="false">IF($B354="","",IFERROR(INDEX(Madde_Listesi!$F:$F,MATCH($B354,Madde_Listesi!$B:$B,0)),"Kod yok"))</f>
        <v/>
      </c>
      <c r="H354" s="19" t="str">
        <f aca="false">IF($A354="","",IFERROR(INDEX(Denetimler!$C:$C,MATCH($A354,Denetimler!$A:$A,0)),"No yok"))</f>
        <v/>
      </c>
      <c r="I354" s="19" t="str">
        <f aca="false">IF($A354="","",IFERROR(INDEX(Denetimler!$D:$D,MATCH($A354,Denetimler!$A:$A,0)),"No yok"))</f>
        <v/>
      </c>
      <c r="J354" s="19" t="str">
        <f aca="false">IF($A354="","",IFERROR(INDEX(Denetimler!$E:$E,MATCH($A354,Denetimler!$A:$A,0)),"No yok"))</f>
        <v/>
      </c>
      <c r="K354" s="25" t="str">
        <f aca="false">IF($A354="","",IFERROR(INDEX(Denetimler!$B:$B,MATCH($A354,Denetimler!$A:$A,0)),"No yok"))</f>
        <v/>
      </c>
    </row>
    <row r="355" customFormat="false" ht="15" hidden="false" customHeight="false" outlineLevel="0" collapsed="false">
      <c r="D355" s="19" t="str">
        <f aca="false">IF($B355="","",IFERROR(INDEX(Madde_Listesi!$C:$C,MATCH($B355,Madde_Listesi!$B:$B,0)),"Kod yok"))</f>
        <v/>
      </c>
      <c r="E355" s="19" t="str">
        <f aca="false">IF($B355="","",IFERROR(INDEX(Madde_Listesi!$D:$D,MATCH($B355,Madde_Listesi!$B:$B,0)),"Kod yok"))</f>
        <v/>
      </c>
      <c r="F355" s="19" t="str">
        <f aca="false">IF($B355="","",IFERROR(INDEX(Madde_Listesi!$E:$E,MATCH($B355,Madde_Listesi!$B:$B,0)),"Kod yok"))</f>
        <v/>
      </c>
      <c r="G355" s="19" t="str">
        <f aca="false">IF($B355="","",IFERROR(INDEX(Madde_Listesi!$F:$F,MATCH($B355,Madde_Listesi!$B:$B,0)),"Kod yok"))</f>
        <v/>
      </c>
      <c r="H355" s="19" t="str">
        <f aca="false">IF($A355="","",IFERROR(INDEX(Denetimler!$C:$C,MATCH($A355,Denetimler!$A:$A,0)),"No yok"))</f>
        <v/>
      </c>
      <c r="I355" s="19" t="str">
        <f aca="false">IF($A355="","",IFERROR(INDEX(Denetimler!$D:$D,MATCH($A355,Denetimler!$A:$A,0)),"No yok"))</f>
        <v/>
      </c>
      <c r="J355" s="19" t="str">
        <f aca="false">IF($A355="","",IFERROR(INDEX(Denetimler!$E:$E,MATCH($A355,Denetimler!$A:$A,0)),"No yok"))</f>
        <v/>
      </c>
      <c r="K355" s="25" t="str">
        <f aca="false">IF($A355="","",IFERROR(INDEX(Denetimler!$B:$B,MATCH($A355,Denetimler!$A:$A,0)),"No yok"))</f>
        <v/>
      </c>
    </row>
    <row r="356" customFormat="false" ht="15" hidden="false" customHeight="false" outlineLevel="0" collapsed="false">
      <c r="D356" s="19" t="str">
        <f aca="false">IF($B356="","",IFERROR(INDEX(Madde_Listesi!$C:$C,MATCH($B356,Madde_Listesi!$B:$B,0)),"Kod yok"))</f>
        <v/>
      </c>
      <c r="E356" s="19" t="str">
        <f aca="false">IF($B356="","",IFERROR(INDEX(Madde_Listesi!$D:$D,MATCH($B356,Madde_Listesi!$B:$B,0)),"Kod yok"))</f>
        <v/>
      </c>
      <c r="F356" s="19" t="str">
        <f aca="false">IF($B356="","",IFERROR(INDEX(Madde_Listesi!$E:$E,MATCH($B356,Madde_Listesi!$B:$B,0)),"Kod yok"))</f>
        <v/>
      </c>
      <c r="G356" s="19" t="str">
        <f aca="false">IF($B356="","",IFERROR(INDEX(Madde_Listesi!$F:$F,MATCH($B356,Madde_Listesi!$B:$B,0)),"Kod yok"))</f>
        <v/>
      </c>
      <c r="H356" s="19" t="str">
        <f aca="false">IF($A356="","",IFERROR(INDEX(Denetimler!$C:$C,MATCH($A356,Denetimler!$A:$A,0)),"No yok"))</f>
        <v/>
      </c>
      <c r="I356" s="19" t="str">
        <f aca="false">IF($A356="","",IFERROR(INDEX(Denetimler!$D:$D,MATCH($A356,Denetimler!$A:$A,0)),"No yok"))</f>
        <v/>
      </c>
      <c r="J356" s="19" t="str">
        <f aca="false">IF($A356="","",IFERROR(INDEX(Denetimler!$E:$E,MATCH($A356,Denetimler!$A:$A,0)),"No yok"))</f>
        <v/>
      </c>
      <c r="K356" s="25" t="str">
        <f aca="false">IF($A356="","",IFERROR(INDEX(Denetimler!$B:$B,MATCH($A356,Denetimler!$A:$A,0)),"No yok"))</f>
        <v/>
      </c>
    </row>
    <row r="357" customFormat="false" ht="15" hidden="false" customHeight="false" outlineLevel="0" collapsed="false">
      <c r="D357" s="19" t="str">
        <f aca="false">IF($B357="","",IFERROR(INDEX(Madde_Listesi!$C:$C,MATCH($B357,Madde_Listesi!$B:$B,0)),"Kod yok"))</f>
        <v/>
      </c>
      <c r="E357" s="19" t="str">
        <f aca="false">IF($B357="","",IFERROR(INDEX(Madde_Listesi!$D:$D,MATCH($B357,Madde_Listesi!$B:$B,0)),"Kod yok"))</f>
        <v/>
      </c>
      <c r="F357" s="19" t="str">
        <f aca="false">IF($B357="","",IFERROR(INDEX(Madde_Listesi!$E:$E,MATCH($B357,Madde_Listesi!$B:$B,0)),"Kod yok"))</f>
        <v/>
      </c>
      <c r="G357" s="19" t="str">
        <f aca="false">IF($B357="","",IFERROR(INDEX(Madde_Listesi!$F:$F,MATCH($B357,Madde_Listesi!$B:$B,0)),"Kod yok"))</f>
        <v/>
      </c>
      <c r="H357" s="19" t="str">
        <f aca="false">IF($A357="","",IFERROR(INDEX(Denetimler!$C:$C,MATCH($A357,Denetimler!$A:$A,0)),"No yok"))</f>
        <v/>
      </c>
      <c r="I357" s="19" t="str">
        <f aca="false">IF($A357="","",IFERROR(INDEX(Denetimler!$D:$D,MATCH($A357,Denetimler!$A:$A,0)),"No yok"))</f>
        <v/>
      </c>
      <c r="J357" s="19" t="str">
        <f aca="false">IF($A357="","",IFERROR(INDEX(Denetimler!$E:$E,MATCH($A357,Denetimler!$A:$A,0)),"No yok"))</f>
        <v/>
      </c>
      <c r="K357" s="25" t="str">
        <f aca="false">IF($A357="","",IFERROR(INDEX(Denetimler!$B:$B,MATCH($A357,Denetimler!$A:$A,0)),"No yok"))</f>
        <v/>
      </c>
    </row>
    <row r="358" customFormat="false" ht="15" hidden="false" customHeight="false" outlineLevel="0" collapsed="false">
      <c r="D358" s="19" t="str">
        <f aca="false">IF($B358="","",IFERROR(INDEX(Madde_Listesi!$C:$C,MATCH($B358,Madde_Listesi!$B:$B,0)),"Kod yok"))</f>
        <v/>
      </c>
      <c r="E358" s="19" t="str">
        <f aca="false">IF($B358="","",IFERROR(INDEX(Madde_Listesi!$D:$D,MATCH($B358,Madde_Listesi!$B:$B,0)),"Kod yok"))</f>
        <v/>
      </c>
      <c r="F358" s="19" t="str">
        <f aca="false">IF($B358="","",IFERROR(INDEX(Madde_Listesi!$E:$E,MATCH($B358,Madde_Listesi!$B:$B,0)),"Kod yok"))</f>
        <v/>
      </c>
      <c r="G358" s="19" t="str">
        <f aca="false">IF($B358="","",IFERROR(INDEX(Madde_Listesi!$F:$F,MATCH($B358,Madde_Listesi!$B:$B,0)),"Kod yok"))</f>
        <v/>
      </c>
      <c r="H358" s="19" t="str">
        <f aca="false">IF($A358="","",IFERROR(INDEX(Denetimler!$C:$C,MATCH($A358,Denetimler!$A:$A,0)),"No yok"))</f>
        <v/>
      </c>
      <c r="I358" s="19" t="str">
        <f aca="false">IF($A358="","",IFERROR(INDEX(Denetimler!$D:$D,MATCH($A358,Denetimler!$A:$A,0)),"No yok"))</f>
        <v/>
      </c>
      <c r="J358" s="19" t="str">
        <f aca="false">IF($A358="","",IFERROR(INDEX(Denetimler!$E:$E,MATCH($A358,Denetimler!$A:$A,0)),"No yok"))</f>
        <v/>
      </c>
      <c r="K358" s="25" t="str">
        <f aca="false">IF($A358="","",IFERROR(INDEX(Denetimler!$B:$B,MATCH($A358,Denetimler!$A:$A,0)),"No yok"))</f>
        <v/>
      </c>
    </row>
    <row r="359" customFormat="false" ht="15" hidden="false" customHeight="false" outlineLevel="0" collapsed="false">
      <c r="D359" s="19" t="str">
        <f aca="false">IF($B359="","",IFERROR(INDEX(Madde_Listesi!$C:$C,MATCH($B359,Madde_Listesi!$B:$B,0)),"Kod yok"))</f>
        <v/>
      </c>
      <c r="E359" s="19" t="str">
        <f aca="false">IF($B359="","",IFERROR(INDEX(Madde_Listesi!$D:$D,MATCH($B359,Madde_Listesi!$B:$B,0)),"Kod yok"))</f>
        <v/>
      </c>
      <c r="F359" s="19" t="str">
        <f aca="false">IF($B359="","",IFERROR(INDEX(Madde_Listesi!$E:$E,MATCH($B359,Madde_Listesi!$B:$B,0)),"Kod yok"))</f>
        <v/>
      </c>
      <c r="G359" s="19" t="str">
        <f aca="false">IF($B359="","",IFERROR(INDEX(Madde_Listesi!$F:$F,MATCH($B359,Madde_Listesi!$B:$B,0)),"Kod yok"))</f>
        <v/>
      </c>
      <c r="H359" s="19" t="str">
        <f aca="false">IF($A359="","",IFERROR(INDEX(Denetimler!$C:$C,MATCH($A359,Denetimler!$A:$A,0)),"No yok"))</f>
        <v/>
      </c>
      <c r="I359" s="19" t="str">
        <f aca="false">IF($A359="","",IFERROR(INDEX(Denetimler!$D:$D,MATCH($A359,Denetimler!$A:$A,0)),"No yok"))</f>
        <v/>
      </c>
      <c r="J359" s="19" t="str">
        <f aca="false">IF($A359="","",IFERROR(INDEX(Denetimler!$E:$E,MATCH($A359,Denetimler!$A:$A,0)),"No yok"))</f>
        <v/>
      </c>
      <c r="K359" s="25" t="str">
        <f aca="false">IF($A359="","",IFERROR(INDEX(Denetimler!$B:$B,MATCH($A359,Denetimler!$A:$A,0)),"No yok"))</f>
        <v/>
      </c>
    </row>
    <row r="360" customFormat="false" ht="15" hidden="false" customHeight="false" outlineLevel="0" collapsed="false">
      <c r="D360" s="19" t="str">
        <f aca="false">IF($B360="","",IFERROR(INDEX(Madde_Listesi!$C:$C,MATCH($B360,Madde_Listesi!$B:$B,0)),"Kod yok"))</f>
        <v/>
      </c>
      <c r="E360" s="19" t="str">
        <f aca="false">IF($B360="","",IFERROR(INDEX(Madde_Listesi!$D:$D,MATCH($B360,Madde_Listesi!$B:$B,0)),"Kod yok"))</f>
        <v/>
      </c>
      <c r="F360" s="19" t="str">
        <f aca="false">IF($B360="","",IFERROR(INDEX(Madde_Listesi!$E:$E,MATCH($B360,Madde_Listesi!$B:$B,0)),"Kod yok"))</f>
        <v/>
      </c>
      <c r="G360" s="19" t="str">
        <f aca="false">IF($B360="","",IFERROR(INDEX(Madde_Listesi!$F:$F,MATCH($B360,Madde_Listesi!$B:$B,0)),"Kod yok"))</f>
        <v/>
      </c>
      <c r="H360" s="19" t="str">
        <f aca="false">IF($A360="","",IFERROR(INDEX(Denetimler!$C:$C,MATCH($A360,Denetimler!$A:$A,0)),"No yok"))</f>
        <v/>
      </c>
      <c r="I360" s="19" t="str">
        <f aca="false">IF($A360="","",IFERROR(INDEX(Denetimler!$D:$D,MATCH($A360,Denetimler!$A:$A,0)),"No yok"))</f>
        <v/>
      </c>
      <c r="J360" s="19" t="str">
        <f aca="false">IF($A360="","",IFERROR(INDEX(Denetimler!$E:$E,MATCH($A360,Denetimler!$A:$A,0)),"No yok"))</f>
        <v/>
      </c>
      <c r="K360" s="25" t="str">
        <f aca="false">IF($A360="","",IFERROR(INDEX(Denetimler!$B:$B,MATCH($A360,Denetimler!$A:$A,0)),"No yok"))</f>
        <v/>
      </c>
    </row>
    <row r="361" customFormat="false" ht="15" hidden="false" customHeight="false" outlineLevel="0" collapsed="false">
      <c r="D361" s="19" t="str">
        <f aca="false">IF($B361="","",IFERROR(INDEX(Madde_Listesi!$C:$C,MATCH($B361,Madde_Listesi!$B:$B,0)),"Kod yok"))</f>
        <v/>
      </c>
      <c r="E361" s="19" t="str">
        <f aca="false">IF($B361="","",IFERROR(INDEX(Madde_Listesi!$D:$D,MATCH($B361,Madde_Listesi!$B:$B,0)),"Kod yok"))</f>
        <v/>
      </c>
      <c r="F361" s="19" t="str">
        <f aca="false">IF($B361="","",IFERROR(INDEX(Madde_Listesi!$E:$E,MATCH($B361,Madde_Listesi!$B:$B,0)),"Kod yok"))</f>
        <v/>
      </c>
      <c r="G361" s="19" t="str">
        <f aca="false">IF($B361="","",IFERROR(INDEX(Madde_Listesi!$F:$F,MATCH($B361,Madde_Listesi!$B:$B,0)),"Kod yok"))</f>
        <v/>
      </c>
      <c r="H361" s="19" t="str">
        <f aca="false">IF($A361="","",IFERROR(INDEX(Denetimler!$C:$C,MATCH($A361,Denetimler!$A:$A,0)),"No yok"))</f>
        <v/>
      </c>
      <c r="I361" s="19" t="str">
        <f aca="false">IF($A361="","",IFERROR(INDEX(Denetimler!$D:$D,MATCH($A361,Denetimler!$A:$A,0)),"No yok"))</f>
        <v/>
      </c>
      <c r="J361" s="19" t="str">
        <f aca="false">IF($A361="","",IFERROR(INDEX(Denetimler!$E:$E,MATCH($A361,Denetimler!$A:$A,0)),"No yok"))</f>
        <v/>
      </c>
      <c r="K361" s="25" t="str">
        <f aca="false">IF($A361="","",IFERROR(INDEX(Denetimler!$B:$B,MATCH($A361,Denetimler!$A:$A,0)),"No yok"))</f>
        <v/>
      </c>
    </row>
    <row r="362" customFormat="false" ht="15" hidden="false" customHeight="false" outlineLevel="0" collapsed="false">
      <c r="D362" s="19" t="str">
        <f aca="false">IF($B362="","",IFERROR(INDEX(Madde_Listesi!$C:$C,MATCH($B362,Madde_Listesi!$B:$B,0)),"Kod yok"))</f>
        <v/>
      </c>
      <c r="E362" s="19" t="str">
        <f aca="false">IF($B362="","",IFERROR(INDEX(Madde_Listesi!$D:$D,MATCH($B362,Madde_Listesi!$B:$B,0)),"Kod yok"))</f>
        <v/>
      </c>
      <c r="F362" s="19" t="str">
        <f aca="false">IF($B362="","",IFERROR(INDEX(Madde_Listesi!$E:$E,MATCH($B362,Madde_Listesi!$B:$B,0)),"Kod yok"))</f>
        <v/>
      </c>
      <c r="G362" s="19" t="str">
        <f aca="false">IF($B362="","",IFERROR(INDEX(Madde_Listesi!$F:$F,MATCH($B362,Madde_Listesi!$B:$B,0)),"Kod yok"))</f>
        <v/>
      </c>
      <c r="H362" s="19" t="str">
        <f aca="false">IF($A362="","",IFERROR(INDEX(Denetimler!$C:$C,MATCH($A362,Denetimler!$A:$A,0)),"No yok"))</f>
        <v/>
      </c>
      <c r="I362" s="19" t="str">
        <f aca="false">IF($A362="","",IFERROR(INDEX(Denetimler!$D:$D,MATCH($A362,Denetimler!$A:$A,0)),"No yok"))</f>
        <v/>
      </c>
      <c r="J362" s="19" t="str">
        <f aca="false">IF($A362="","",IFERROR(INDEX(Denetimler!$E:$E,MATCH($A362,Denetimler!$A:$A,0)),"No yok"))</f>
        <v/>
      </c>
      <c r="K362" s="25" t="str">
        <f aca="false">IF($A362="","",IFERROR(INDEX(Denetimler!$B:$B,MATCH($A362,Denetimler!$A:$A,0)),"No yok"))</f>
        <v/>
      </c>
    </row>
    <row r="363" customFormat="false" ht="15" hidden="false" customHeight="false" outlineLevel="0" collapsed="false">
      <c r="D363" s="19" t="str">
        <f aca="false">IF($B363="","",IFERROR(INDEX(Madde_Listesi!$C:$C,MATCH($B363,Madde_Listesi!$B:$B,0)),"Kod yok"))</f>
        <v/>
      </c>
      <c r="E363" s="19" t="str">
        <f aca="false">IF($B363="","",IFERROR(INDEX(Madde_Listesi!$D:$D,MATCH($B363,Madde_Listesi!$B:$B,0)),"Kod yok"))</f>
        <v/>
      </c>
      <c r="F363" s="19" t="str">
        <f aca="false">IF($B363="","",IFERROR(INDEX(Madde_Listesi!$E:$E,MATCH($B363,Madde_Listesi!$B:$B,0)),"Kod yok"))</f>
        <v/>
      </c>
      <c r="G363" s="19" t="str">
        <f aca="false">IF($B363="","",IFERROR(INDEX(Madde_Listesi!$F:$F,MATCH($B363,Madde_Listesi!$B:$B,0)),"Kod yok"))</f>
        <v/>
      </c>
      <c r="H363" s="19" t="str">
        <f aca="false">IF($A363="","",IFERROR(INDEX(Denetimler!$C:$C,MATCH($A363,Denetimler!$A:$A,0)),"No yok"))</f>
        <v/>
      </c>
      <c r="I363" s="19" t="str">
        <f aca="false">IF($A363="","",IFERROR(INDEX(Denetimler!$D:$D,MATCH($A363,Denetimler!$A:$A,0)),"No yok"))</f>
        <v/>
      </c>
      <c r="J363" s="19" t="str">
        <f aca="false">IF($A363="","",IFERROR(INDEX(Denetimler!$E:$E,MATCH($A363,Denetimler!$A:$A,0)),"No yok"))</f>
        <v/>
      </c>
      <c r="K363" s="25" t="str">
        <f aca="false">IF($A363="","",IFERROR(INDEX(Denetimler!$B:$B,MATCH($A363,Denetimler!$A:$A,0)),"No yok"))</f>
        <v/>
      </c>
    </row>
    <row r="364" customFormat="false" ht="15" hidden="false" customHeight="false" outlineLevel="0" collapsed="false">
      <c r="D364" s="19" t="str">
        <f aca="false">IF($B364="","",IFERROR(INDEX(Madde_Listesi!$C:$C,MATCH($B364,Madde_Listesi!$B:$B,0)),"Kod yok"))</f>
        <v/>
      </c>
      <c r="E364" s="19" t="str">
        <f aca="false">IF($B364="","",IFERROR(INDEX(Madde_Listesi!$D:$D,MATCH($B364,Madde_Listesi!$B:$B,0)),"Kod yok"))</f>
        <v/>
      </c>
      <c r="F364" s="19" t="str">
        <f aca="false">IF($B364="","",IFERROR(INDEX(Madde_Listesi!$E:$E,MATCH($B364,Madde_Listesi!$B:$B,0)),"Kod yok"))</f>
        <v/>
      </c>
      <c r="G364" s="19" t="str">
        <f aca="false">IF($B364="","",IFERROR(INDEX(Madde_Listesi!$F:$F,MATCH($B364,Madde_Listesi!$B:$B,0)),"Kod yok"))</f>
        <v/>
      </c>
      <c r="H364" s="19" t="str">
        <f aca="false">IF($A364="","",IFERROR(INDEX(Denetimler!$C:$C,MATCH($A364,Denetimler!$A:$A,0)),"No yok"))</f>
        <v/>
      </c>
      <c r="I364" s="19" t="str">
        <f aca="false">IF($A364="","",IFERROR(INDEX(Denetimler!$D:$D,MATCH($A364,Denetimler!$A:$A,0)),"No yok"))</f>
        <v/>
      </c>
      <c r="J364" s="19" t="str">
        <f aca="false">IF($A364="","",IFERROR(INDEX(Denetimler!$E:$E,MATCH($A364,Denetimler!$A:$A,0)),"No yok"))</f>
        <v/>
      </c>
      <c r="K364" s="25" t="str">
        <f aca="false">IF($A364="","",IFERROR(INDEX(Denetimler!$B:$B,MATCH($A364,Denetimler!$A:$A,0)),"No yok"))</f>
        <v/>
      </c>
    </row>
    <row r="365" customFormat="false" ht="15" hidden="false" customHeight="false" outlineLevel="0" collapsed="false">
      <c r="D365" s="19" t="str">
        <f aca="false">IF($B365="","",IFERROR(INDEX(Madde_Listesi!$C:$C,MATCH($B365,Madde_Listesi!$B:$B,0)),"Kod yok"))</f>
        <v/>
      </c>
      <c r="E365" s="19" t="str">
        <f aca="false">IF($B365="","",IFERROR(INDEX(Madde_Listesi!$D:$D,MATCH($B365,Madde_Listesi!$B:$B,0)),"Kod yok"))</f>
        <v/>
      </c>
      <c r="F365" s="19" t="str">
        <f aca="false">IF($B365="","",IFERROR(INDEX(Madde_Listesi!$E:$E,MATCH($B365,Madde_Listesi!$B:$B,0)),"Kod yok"))</f>
        <v/>
      </c>
      <c r="G365" s="19" t="str">
        <f aca="false">IF($B365="","",IFERROR(INDEX(Madde_Listesi!$F:$F,MATCH($B365,Madde_Listesi!$B:$B,0)),"Kod yok"))</f>
        <v/>
      </c>
      <c r="H365" s="19" t="str">
        <f aca="false">IF($A365="","",IFERROR(INDEX(Denetimler!$C:$C,MATCH($A365,Denetimler!$A:$A,0)),"No yok"))</f>
        <v/>
      </c>
      <c r="I365" s="19" t="str">
        <f aca="false">IF($A365="","",IFERROR(INDEX(Denetimler!$D:$D,MATCH($A365,Denetimler!$A:$A,0)),"No yok"))</f>
        <v/>
      </c>
      <c r="J365" s="19" t="str">
        <f aca="false">IF($A365="","",IFERROR(INDEX(Denetimler!$E:$E,MATCH($A365,Denetimler!$A:$A,0)),"No yok"))</f>
        <v/>
      </c>
      <c r="K365" s="25" t="str">
        <f aca="false">IF($A365="","",IFERROR(INDEX(Denetimler!$B:$B,MATCH($A365,Denetimler!$A:$A,0)),"No yok"))</f>
        <v/>
      </c>
    </row>
    <row r="366" customFormat="false" ht="15" hidden="false" customHeight="false" outlineLevel="0" collapsed="false">
      <c r="D366" s="19" t="str">
        <f aca="false">IF($B366="","",IFERROR(INDEX(Madde_Listesi!$C:$C,MATCH($B366,Madde_Listesi!$B:$B,0)),"Kod yok"))</f>
        <v/>
      </c>
      <c r="E366" s="19" t="str">
        <f aca="false">IF($B366="","",IFERROR(INDEX(Madde_Listesi!$D:$D,MATCH($B366,Madde_Listesi!$B:$B,0)),"Kod yok"))</f>
        <v/>
      </c>
      <c r="F366" s="19" t="str">
        <f aca="false">IF($B366="","",IFERROR(INDEX(Madde_Listesi!$E:$E,MATCH($B366,Madde_Listesi!$B:$B,0)),"Kod yok"))</f>
        <v/>
      </c>
      <c r="G366" s="19" t="str">
        <f aca="false">IF($B366="","",IFERROR(INDEX(Madde_Listesi!$F:$F,MATCH($B366,Madde_Listesi!$B:$B,0)),"Kod yok"))</f>
        <v/>
      </c>
      <c r="H366" s="19" t="str">
        <f aca="false">IF($A366="","",IFERROR(INDEX(Denetimler!$C:$C,MATCH($A366,Denetimler!$A:$A,0)),"No yok"))</f>
        <v/>
      </c>
      <c r="I366" s="19" t="str">
        <f aca="false">IF($A366="","",IFERROR(INDEX(Denetimler!$D:$D,MATCH($A366,Denetimler!$A:$A,0)),"No yok"))</f>
        <v/>
      </c>
      <c r="J366" s="19" t="str">
        <f aca="false">IF($A366="","",IFERROR(INDEX(Denetimler!$E:$E,MATCH($A366,Denetimler!$A:$A,0)),"No yok"))</f>
        <v/>
      </c>
      <c r="K366" s="25" t="str">
        <f aca="false">IF($A366="","",IFERROR(INDEX(Denetimler!$B:$B,MATCH($A366,Denetimler!$A:$A,0)),"No yok"))</f>
        <v/>
      </c>
    </row>
    <row r="367" customFormat="false" ht="15" hidden="false" customHeight="false" outlineLevel="0" collapsed="false">
      <c r="D367" s="19" t="str">
        <f aca="false">IF($B367="","",IFERROR(INDEX(Madde_Listesi!$C:$C,MATCH($B367,Madde_Listesi!$B:$B,0)),"Kod yok"))</f>
        <v/>
      </c>
      <c r="E367" s="19" t="str">
        <f aca="false">IF($B367="","",IFERROR(INDEX(Madde_Listesi!$D:$D,MATCH($B367,Madde_Listesi!$B:$B,0)),"Kod yok"))</f>
        <v/>
      </c>
      <c r="F367" s="19" t="str">
        <f aca="false">IF($B367="","",IFERROR(INDEX(Madde_Listesi!$E:$E,MATCH($B367,Madde_Listesi!$B:$B,0)),"Kod yok"))</f>
        <v/>
      </c>
      <c r="G367" s="19" t="str">
        <f aca="false">IF($B367="","",IFERROR(INDEX(Madde_Listesi!$F:$F,MATCH($B367,Madde_Listesi!$B:$B,0)),"Kod yok"))</f>
        <v/>
      </c>
      <c r="H367" s="19" t="str">
        <f aca="false">IF($A367="","",IFERROR(INDEX(Denetimler!$C:$C,MATCH($A367,Denetimler!$A:$A,0)),"No yok"))</f>
        <v/>
      </c>
      <c r="I367" s="19" t="str">
        <f aca="false">IF($A367="","",IFERROR(INDEX(Denetimler!$D:$D,MATCH($A367,Denetimler!$A:$A,0)),"No yok"))</f>
        <v/>
      </c>
      <c r="J367" s="19" t="str">
        <f aca="false">IF($A367="","",IFERROR(INDEX(Denetimler!$E:$E,MATCH($A367,Denetimler!$A:$A,0)),"No yok"))</f>
        <v/>
      </c>
      <c r="K367" s="25" t="str">
        <f aca="false">IF($A367="","",IFERROR(INDEX(Denetimler!$B:$B,MATCH($A367,Denetimler!$A:$A,0)),"No yok"))</f>
        <v/>
      </c>
    </row>
    <row r="368" customFormat="false" ht="15" hidden="false" customHeight="false" outlineLevel="0" collapsed="false">
      <c r="D368" s="19" t="str">
        <f aca="false">IF($B368="","",IFERROR(INDEX(Madde_Listesi!$C:$C,MATCH($B368,Madde_Listesi!$B:$B,0)),"Kod yok"))</f>
        <v/>
      </c>
      <c r="E368" s="19" t="str">
        <f aca="false">IF($B368="","",IFERROR(INDEX(Madde_Listesi!$D:$D,MATCH($B368,Madde_Listesi!$B:$B,0)),"Kod yok"))</f>
        <v/>
      </c>
      <c r="F368" s="19" t="str">
        <f aca="false">IF($B368="","",IFERROR(INDEX(Madde_Listesi!$E:$E,MATCH($B368,Madde_Listesi!$B:$B,0)),"Kod yok"))</f>
        <v/>
      </c>
      <c r="G368" s="19" t="str">
        <f aca="false">IF($B368="","",IFERROR(INDEX(Madde_Listesi!$F:$F,MATCH($B368,Madde_Listesi!$B:$B,0)),"Kod yok"))</f>
        <v/>
      </c>
      <c r="H368" s="19" t="str">
        <f aca="false">IF($A368="","",IFERROR(INDEX(Denetimler!$C:$C,MATCH($A368,Denetimler!$A:$A,0)),"No yok"))</f>
        <v/>
      </c>
      <c r="I368" s="19" t="str">
        <f aca="false">IF($A368="","",IFERROR(INDEX(Denetimler!$D:$D,MATCH($A368,Denetimler!$A:$A,0)),"No yok"))</f>
        <v/>
      </c>
      <c r="J368" s="19" t="str">
        <f aca="false">IF($A368="","",IFERROR(INDEX(Denetimler!$E:$E,MATCH($A368,Denetimler!$A:$A,0)),"No yok"))</f>
        <v/>
      </c>
      <c r="K368" s="25" t="str">
        <f aca="false">IF($A368="","",IFERROR(INDEX(Denetimler!$B:$B,MATCH($A368,Denetimler!$A:$A,0)),"No yok"))</f>
        <v/>
      </c>
    </row>
    <row r="369" customFormat="false" ht="15" hidden="false" customHeight="false" outlineLevel="0" collapsed="false">
      <c r="D369" s="19" t="str">
        <f aca="false">IF($B369="","",IFERROR(INDEX(Madde_Listesi!$C:$C,MATCH($B369,Madde_Listesi!$B:$B,0)),"Kod yok"))</f>
        <v/>
      </c>
      <c r="E369" s="19" t="str">
        <f aca="false">IF($B369="","",IFERROR(INDEX(Madde_Listesi!$D:$D,MATCH($B369,Madde_Listesi!$B:$B,0)),"Kod yok"))</f>
        <v/>
      </c>
      <c r="F369" s="19" t="str">
        <f aca="false">IF($B369="","",IFERROR(INDEX(Madde_Listesi!$E:$E,MATCH($B369,Madde_Listesi!$B:$B,0)),"Kod yok"))</f>
        <v/>
      </c>
      <c r="G369" s="19" t="str">
        <f aca="false">IF($B369="","",IFERROR(INDEX(Madde_Listesi!$F:$F,MATCH($B369,Madde_Listesi!$B:$B,0)),"Kod yok"))</f>
        <v/>
      </c>
      <c r="H369" s="19" t="str">
        <f aca="false">IF($A369="","",IFERROR(INDEX(Denetimler!$C:$C,MATCH($A369,Denetimler!$A:$A,0)),"No yok"))</f>
        <v/>
      </c>
      <c r="I369" s="19" t="str">
        <f aca="false">IF($A369="","",IFERROR(INDEX(Denetimler!$D:$D,MATCH($A369,Denetimler!$A:$A,0)),"No yok"))</f>
        <v/>
      </c>
      <c r="J369" s="19" t="str">
        <f aca="false">IF($A369="","",IFERROR(INDEX(Denetimler!$E:$E,MATCH($A369,Denetimler!$A:$A,0)),"No yok"))</f>
        <v/>
      </c>
      <c r="K369" s="25" t="str">
        <f aca="false">IF($A369="","",IFERROR(INDEX(Denetimler!$B:$B,MATCH($A369,Denetimler!$A:$A,0)),"No yok"))</f>
        <v/>
      </c>
    </row>
    <row r="370" customFormat="false" ht="15" hidden="false" customHeight="false" outlineLevel="0" collapsed="false">
      <c r="D370" s="19" t="str">
        <f aca="false">IF($B370="","",IFERROR(INDEX(Madde_Listesi!$C:$C,MATCH($B370,Madde_Listesi!$B:$B,0)),"Kod yok"))</f>
        <v/>
      </c>
      <c r="E370" s="19" t="str">
        <f aca="false">IF($B370="","",IFERROR(INDEX(Madde_Listesi!$D:$D,MATCH($B370,Madde_Listesi!$B:$B,0)),"Kod yok"))</f>
        <v/>
      </c>
      <c r="F370" s="19" t="str">
        <f aca="false">IF($B370="","",IFERROR(INDEX(Madde_Listesi!$E:$E,MATCH($B370,Madde_Listesi!$B:$B,0)),"Kod yok"))</f>
        <v/>
      </c>
      <c r="G370" s="19" t="str">
        <f aca="false">IF($B370="","",IFERROR(INDEX(Madde_Listesi!$F:$F,MATCH($B370,Madde_Listesi!$B:$B,0)),"Kod yok"))</f>
        <v/>
      </c>
      <c r="H370" s="19" t="str">
        <f aca="false">IF($A370="","",IFERROR(INDEX(Denetimler!$C:$C,MATCH($A370,Denetimler!$A:$A,0)),"No yok"))</f>
        <v/>
      </c>
      <c r="I370" s="19" t="str">
        <f aca="false">IF($A370="","",IFERROR(INDEX(Denetimler!$D:$D,MATCH($A370,Denetimler!$A:$A,0)),"No yok"))</f>
        <v/>
      </c>
      <c r="J370" s="19" t="str">
        <f aca="false">IF($A370="","",IFERROR(INDEX(Denetimler!$E:$E,MATCH($A370,Denetimler!$A:$A,0)),"No yok"))</f>
        <v/>
      </c>
      <c r="K370" s="25" t="str">
        <f aca="false">IF($A370="","",IFERROR(INDEX(Denetimler!$B:$B,MATCH($A370,Denetimler!$A:$A,0)),"No yok"))</f>
        <v/>
      </c>
    </row>
    <row r="371" customFormat="false" ht="15" hidden="false" customHeight="false" outlineLevel="0" collapsed="false">
      <c r="D371" s="19" t="str">
        <f aca="false">IF($B371="","",IFERROR(INDEX(Madde_Listesi!$C:$C,MATCH($B371,Madde_Listesi!$B:$B,0)),"Kod yok"))</f>
        <v/>
      </c>
      <c r="E371" s="19" t="str">
        <f aca="false">IF($B371="","",IFERROR(INDEX(Madde_Listesi!$D:$D,MATCH($B371,Madde_Listesi!$B:$B,0)),"Kod yok"))</f>
        <v/>
      </c>
      <c r="F371" s="19" t="str">
        <f aca="false">IF($B371="","",IFERROR(INDEX(Madde_Listesi!$E:$E,MATCH($B371,Madde_Listesi!$B:$B,0)),"Kod yok"))</f>
        <v/>
      </c>
      <c r="G371" s="19" t="str">
        <f aca="false">IF($B371="","",IFERROR(INDEX(Madde_Listesi!$F:$F,MATCH($B371,Madde_Listesi!$B:$B,0)),"Kod yok"))</f>
        <v/>
      </c>
      <c r="H371" s="19" t="str">
        <f aca="false">IF($A371="","",IFERROR(INDEX(Denetimler!$C:$C,MATCH($A371,Denetimler!$A:$A,0)),"No yok"))</f>
        <v/>
      </c>
      <c r="I371" s="19" t="str">
        <f aca="false">IF($A371="","",IFERROR(INDEX(Denetimler!$D:$D,MATCH($A371,Denetimler!$A:$A,0)),"No yok"))</f>
        <v/>
      </c>
      <c r="J371" s="19" t="str">
        <f aca="false">IF($A371="","",IFERROR(INDEX(Denetimler!$E:$E,MATCH($A371,Denetimler!$A:$A,0)),"No yok"))</f>
        <v/>
      </c>
      <c r="K371" s="25" t="str">
        <f aca="false">IF($A371="","",IFERROR(INDEX(Denetimler!$B:$B,MATCH($A371,Denetimler!$A:$A,0)),"No yok"))</f>
        <v/>
      </c>
    </row>
    <row r="372" customFormat="false" ht="15" hidden="false" customHeight="false" outlineLevel="0" collapsed="false">
      <c r="D372" s="19" t="str">
        <f aca="false">IF($B372="","",IFERROR(INDEX(Madde_Listesi!$C:$C,MATCH($B372,Madde_Listesi!$B:$B,0)),"Kod yok"))</f>
        <v/>
      </c>
      <c r="E372" s="19" t="str">
        <f aca="false">IF($B372="","",IFERROR(INDEX(Madde_Listesi!$D:$D,MATCH($B372,Madde_Listesi!$B:$B,0)),"Kod yok"))</f>
        <v/>
      </c>
      <c r="F372" s="19" t="str">
        <f aca="false">IF($B372="","",IFERROR(INDEX(Madde_Listesi!$E:$E,MATCH($B372,Madde_Listesi!$B:$B,0)),"Kod yok"))</f>
        <v/>
      </c>
      <c r="G372" s="19" t="str">
        <f aca="false">IF($B372="","",IFERROR(INDEX(Madde_Listesi!$F:$F,MATCH($B372,Madde_Listesi!$B:$B,0)),"Kod yok"))</f>
        <v/>
      </c>
      <c r="H372" s="19" t="str">
        <f aca="false">IF($A372="","",IFERROR(INDEX(Denetimler!$C:$C,MATCH($A372,Denetimler!$A:$A,0)),"No yok"))</f>
        <v/>
      </c>
      <c r="I372" s="19" t="str">
        <f aca="false">IF($A372="","",IFERROR(INDEX(Denetimler!$D:$D,MATCH($A372,Denetimler!$A:$A,0)),"No yok"))</f>
        <v/>
      </c>
      <c r="J372" s="19" t="str">
        <f aca="false">IF($A372="","",IFERROR(INDEX(Denetimler!$E:$E,MATCH($A372,Denetimler!$A:$A,0)),"No yok"))</f>
        <v/>
      </c>
      <c r="K372" s="25" t="str">
        <f aca="false">IF($A372="","",IFERROR(INDEX(Denetimler!$B:$B,MATCH($A372,Denetimler!$A:$A,0)),"No yok"))</f>
        <v/>
      </c>
    </row>
    <row r="373" customFormat="false" ht="15" hidden="false" customHeight="false" outlineLevel="0" collapsed="false">
      <c r="D373" s="19" t="str">
        <f aca="false">IF($B373="","",IFERROR(INDEX(Madde_Listesi!$C:$C,MATCH($B373,Madde_Listesi!$B:$B,0)),"Kod yok"))</f>
        <v/>
      </c>
      <c r="E373" s="19" t="str">
        <f aca="false">IF($B373="","",IFERROR(INDEX(Madde_Listesi!$D:$D,MATCH($B373,Madde_Listesi!$B:$B,0)),"Kod yok"))</f>
        <v/>
      </c>
      <c r="F373" s="19" t="str">
        <f aca="false">IF($B373="","",IFERROR(INDEX(Madde_Listesi!$E:$E,MATCH($B373,Madde_Listesi!$B:$B,0)),"Kod yok"))</f>
        <v/>
      </c>
      <c r="G373" s="19" t="str">
        <f aca="false">IF($B373="","",IFERROR(INDEX(Madde_Listesi!$F:$F,MATCH($B373,Madde_Listesi!$B:$B,0)),"Kod yok"))</f>
        <v/>
      </c>
      <c r="H373" s="19" t="str">
        <f aca="false">IF($A373="","",IFERROR(INDEX(Denetimler!$C:$C,MATCH($A373,Denetimler!$A:$A,0)),"No yok"))</f>
        <v/>
      </c>
      <c r="I373" s="19" t="str">
        <f aca="false">IF($A373="","",IFERROR(INDEX(Denetimler!$D:$D,MATCH($A373,Denetimler!$A:$A,0)),"No yok"))</f>
        <v/>
      </c>
      <c r="J373" s="19" t="str">
        <f aca="false">IF($A373="","",IFERROR(INDEX(Denetimler!$E:$E,MATCH($A373,Denetimler!$A:$A,0)),"No yok"))</f>
        <v/>
      </c>
      <c r="K373" s="25" t="str">
        <f aca="false">IF($A373="","",IFERROR(INDEX(Denetimler!$B:$B,MATCH($A373,Denetimler!$A:$A,0)),"No yok"))</f>
        <v/>
      </c>
    </row>
    <row r="374" customFormat="false" ht="15" hidden="false" customHeight="false" outlineLevel="0" collapsed="false">
      <c r="D374" s="19" t="str">
        <f aca="false">IF($B374="","",IFERROR(INDEX(Madde_Listesi!$C:$C,MATCH($B374,Madde_Listesi!$B:$B,0)),"Kod yok"))</f>
        <v/>
      </c>
      <c r="E374" s="19" t="str">
        <f aca="false">IF($B374="","",IFERROR(INDEX(Madde_Listesi!$D:$D,MATCH($B374,Madde_Listesi!$B:$B,0)),"Kod yok"))</f>
        <v/>
      </c>
      <c r="F374" s="19" t="str">
        <f aca="false">IF($B374="","",IFERROR(INDEX(Madde_Listesi!$E:$E,MATCH($B374,Madde_Listesi!$B:$B,0)),"Kod yok"))</f>
        <v/>
      </c>
      <c r="G374" s="19" t="str">
        <f aca="false">IF($B374="","",IFERROR(INDEX(Madde_Listesi!$F:$F,MATCH($B374,Madde_Listesi!$B:$B,0)),"Kod yok"))</f>
        <v/>
      </c>
      <c r="H374" s="19" t="str">
        <f aca="false">IF($A374="","",IFERROR(INDEX(Denetimler!$C:$C,MATCH($A374,Denetimler!$A:$A,0)),"No yok"))</f>
        <v/>
      </c>
      <c r="I374" s="19" t="str">
        <f aca="false">IF($A374="","",IFERROR(INDEX(Denetimler!$D:$D,MATCH($A374,Denetimler!$A:$A,0)),"No yok"))</f>
        <v/>
      </c>
      <c r="J374" s="19" t="str">
        <f aca="false">IF($A374="","",IFERROR(INDEX(Denetimler!$E:$E,MATCH($A374,Denetimler!$A:$A,0)),"No yok"))</f>
        <v/>
      </c>
      <c r="K374" s="25" t="str">
        <f aca="false">IF($A374="","",IFERROR(INDEX(Denetimler!$B:$B,MATCH($A374,Denetimler!$A:$A,0)),"No yok"))</f>
        <v/>
      </c>
    </row>
    <row r="375" customFormat="false" ht="15" hidden="false" customHeight="false" outlineLevel="0" collapsed="false">
      <c r="D375" s="19" t="str">
        <f aca="false">IF($B375="","",IFERROR(INDEX(Madde_Listesi!$C:$C,MATCH($B375,Madde_Listesi!$B:$B,0)),"Kod yok"))</f>
        <v/>
      </c>
      <c r="E375" s="19" t="str">
        <f aca="false">IF($B375="","",IFERROR(INDEX(Madde_Listesi!$D:$D,MATCH($B375,Madde_Listesi!$B:$B,0)),"Kod yok"))</f>
        <v/>
      </c>
      <c r="F375" s="19" t="str">
        <f aca="false">IF($B375="","",IFERROR(INDEX(Madde_Listesi!$E:$E,MATCH($B375,Madde_Listesi!$B:$B,0)),"Kod yok"))</f>
        <v/>
      </c>
      <c r="G375" s="19" t="str">
        <f aca="false">IF($B375="","",IFERROR(INDEX(Madde_Listesi!$F:$F,MATCH($B375,Madde_Listesi!$B:$B,0)),"Kod yok"))</f>
        <v/>
      </c>
      <c r="H375" s="19" t="str">
        <f aca="false">IF($A375="","",IFERROR(INDEX(Denetimler!$C:$C,MATCH($A375,Denetimler!$A:$A,0)),"No yok"))</f>
        <v/>
      </c>
      <c r="I375" s="19" t="str">
        <f aca="false">IF($A375="","",IFERROR(INDEX(Denetimler!$D:$D,MATCH($A375,Denetimler!$A:$A,0)),"No yok"))</f>
        <v/>
      </c>
      <c r="J375" s="19" t="str">
        <f aca="false">IF($A375="","",IFERROR(INDEX(Denetimler!$E:$E,MATCH($A375,Denetimler!$A:$A,0)),"No yok"))</f>
        <v/>
      </c>
      <c r="K375" s="25" t="str">
        <f aca="false">IF($A375="","",IFERROR(INDEX(Denetimler!$B:$B,MATCH($A375,Denetimler!$A:$A,0)),"No yok"))</f>
        <v/>
      </c>
    </row>
    <row r="376" customFormat="false" ht="15" hidden="false" customHeight="false" outlineLevel="0" collapsed="false">
      <c r="D376" s="19" t="str">
        <f aca="false">IF($B376="","",IFERROR(INDEX(Madde_Listesi!$C:$C,MATCH($B376,Madde_Listesi!$B:$B,0)),"Kod yok"))</f>
        <v/>
      </c>
      <c r="E376" s="19" t="str">
        <f aca="false">IF($B376="","",IFERROR(INDEX(Madde_Listesi!$D:$D,MATCH($B376,Madde_Listesi!$B:$B,0)),"Kod yok"))</f>
        <v/>
      </c>
      <c r="F376" s="19" t="str">
        <f aca="false">IF($B376="","",IFERROR(INDEX(Madde_Listesi!$E:$E,MATCH($B376,Madde_Listesi!$B:$B,0)),"Kod yok"))</f>
        <v/>
      </c>
      <c r="G376" s="19" t="str">
        <f aca="false">IF($B376="","",IFERROR(INDEX(Madde_Listesi!$F:$F,MATCH($B376,Madde_Listesi!$B:$B,0)),"Kod yok"))</f>
        <v/>
      </c>
      <c r="H376" s="19" t="str">
        <f aca="false">IF($A376="","",IFERROR(INDEX(Denetimler!$C:$C,MATCH($A376,Denetimler!$A:$A,0)),"No yok"))</f>
        <v/>
      </c>
      <c r="I376" s="19" t="str">
        <f aca="false">IF($A376="","",IFERROR(INDEX(Denetimler!$D:$D,MATCH($A376,Denetimler!$A:$A,0)),"No yok"))</f>
        <v/>
      </c>
      <c r="J376" s="19" t="str">
        <f aca="false">IF($A376="","",IFERROR(INDEX(Denetimler!$E:$E,MATCH($A376,Denetimler!$A:$A,0)),"No yok"))</f>
        <v/>
      </c>
      <c r="K376" s="25" t="str">
        <f aca="false">IF($A376="","",IFERROR(INDEX(Denetimler!$B:$B,MATCH($A376,Denetimler!$A:$A,0)),"No yok"))</f>
        <v/>
      </c>
    </row>
    <row r="377" customFormat="false" ht="15" hidden="false" customHeight="false" outlineLevel="0" collapsed="false">
      <c r="D377" s="19" t="str">
        <f aca="false">IF($B377="","",IFERROR(INDEX(Madde_Listesi!$C:$C,MATCH($B377,Madde_Listesi!$B:$B,0)),"Kod yok"))</f>
        <v/>
      </c>
      <c r="E377" s="19" t="str">
        <f aca="false">IF($B377="","",IFERROR(INDEX(Madde_Listesi!$D:$D,MATCH($B377,Madde_Listesi!$B:$B,0)),"Kod yok"))</f>
        <v/>
      </c>
      <c r="F377" s="19" t="str">
        <f aca="false">IF($B377="","",IFERROR(INDEX(Madde_Listesi!$E:$E,MATCH($B377,Madde_Listesi!$B:$B,0)),"Kod yok"))</f>
        <v/>
      </c>
      <c r="G377" s="19" t="str">
        <f aca="false">IF($B377="","",IFERROR(INDEX(Madde_Listesi!$F:$F,MATCH($B377,Madde_Listesi!$B:$B,0)),"Kod yok"))</f>
        <v/>
      </c>
      <c r="H377" s="19" t="str">
        <f aca="false">IF($A377="","",IFERROR(INDEX(Denetimler!$C:$C,MATCH($A377,Denetimler!$A:$A,0)),"No yok"))</f>
        <v/>
      </c>
      <c r="I377" s="19" t="str">
        <f aca="false">IF($A377="","",IFERROR(INDEX(Denetimler!$D:$D,MATCH($A377,Denetimler!$A:$A,0)),"No yok"))</f>
        <v/>
      </c>
      <c r="J377" s="19" t="str">
        <f aca="false">IF($A377="","",IFERROR(INDEX(Denetimler!$E:$E,MATCH($A377,Denetimler!$A:$A,0)),"No yok"))</f>
        <v/>
      </c>
      <c r="K377" s="25" t="str">
        <f aca="false">IF($A377="","",IFERROR(INDEX(Denetimler!$B:$B,MATCH($A377,Denetimler!$A:$A,0)),"No yok"))</f>
        <v/>
      </c>
    </row>
    <row r="378" customFormat="false" ht="15" hidden="false" customHeight="false" outlineLevel="0" collapsed="false">
      <c r="D378" s="19" t="str">
        <f aca="false">IF($B378="","",IFERROR(INDEX(Madde_Listesi!$C:$C,MATCH($B378,Madde_Listesi!$B:$B,0)),"Kod yok"))</f>
        <v/>
      </c>
      <c r="E378" s="19" t="str">
        <f aca="false">IF($B378="","",IFERROR(INDEX(Madde_Listesi!$D:$D,MATCH($B378,Madde_Listesi!$B:$B,0)),"Kod yok"))</f>
        <v/>
      </c>
      <c r="F378" s="19" t="str">
        <f aca="false">IF($B378="","",IFERROR(INDEX(Madde_Listesi!$E:$E,MATCH($B378,Madde_Listesi!$B:$B,0)),"Kod yok"))</f>
        <v/>
      </c>
      <c r="G378" s="19" t="str">
        <f aca="false">IF($B378="","",IFERROR(INDEX(Madde_Listesi!$F:$F,MATCH($B378,Madde_Listesi!$B:$B,0)),"Kod yok"))</f>
        <v/>
      </c>
      <c r="H378" s="19" t="str">
        <f aca="false">IF($A378="","",IFERROR(INDEX(Denetimler!$C:$C,MATCH($A378,Denetimler!$A:$A,0)),"No yok"))</f>
        <v/>
      </c>
      <c r="I378" s="19" t="str">
        <f aca="false">IF($A378="","",IFERROR(INDEX(Denetimler!$D:$D,MATCH($A378,Denetimler!$A:$A,0)),"No yok"))</f>
        <v/>
      </c>
      <c r="J378" s="19" t="str">
        <f aca="false">IF($A378="","",IFERROR(INDEX(Denetimler!$E:$E,MATCH($A378,Denetimler!$A:$A,0)),"No yok"))</f>
        <v/>
      </c>
      <c r="K378" s="25" t="str">
        <f aca="false">IF($A378="","",IFERROR(INDEX(Denetimler!$B:$B,MATCH($A378,Denetimler!$A:$A,0)),"No yok"))</f>
        <v/>
      </c>
    </row>
    <row r="379" customFormat="false" ht="15" hidden="false" customHeight="false" outlineLevel="0" collapsed="false">
      <c r="D379" s="19" t="str">
        <f aca="false">IF($B379="","",IFERROR(INDEX(Madde_Listesi!$C:$C,MATCH($B379,Madde_Listesi!$B:$B,0)),"Kod yok"))</f>
        <v/>
      </c>
      <c r="E379" s="19" t="str">
        <f aca="false">IF($B379="","",IFERROR(INDEX(Madde_Listesi!$D:$D,MATCH($B379,Madde_Listesi!$B:$B,0)),"Kod yok"))</f>
        <v/>
      </c>
      <c r="F379" s="19" t="str">
        <f aca="false">IF($B379="","",IFERROR(INDEX(Madde_Listesi!$E:$E,MATCH($B379,Madde_Listesi!$B:$B,0)),"Kod yok"))</f>
        <v/>
      </c>
      <c r="G379" s="19" t="str">
        <f aca="false">IF($B379="","",IFERROR(INDEX(Madde_Listesi!$F:$F,MATCH($B379,Madde_Listesi!$B:$B,0)),"Kod yok"))</f>
        <v/>
      </c>
      <c r="H379" s="19" t="str">
        <f aca="false">IF($A379="","",IFERROR(INDEX(Denetimler!$C:$C,MATCH($A379,Denetimler!$A:$A,0)),"No yok"))</f>
        <v/>
      </c>
      <c r="I379" s="19" t="str">
        <f aca="false">IF($A379="","",IFERROR(INDEX(Denetimler!$D:$D,MATCH($A379,Denetimler!$A:$A,0)),"No yok"))</f>
        <v/>
      </c>
      <c r="J379" s="19" t="str">
        <f aca="false">IF($A379="","",IFERROR(INDEX(Denetimler!$E:$E,MATCH($A379,Denetimler!$A:$A,0)),"No yok"))</f>
        <v/>
      </c>
      <c r="K379" s="25" t="str">
        <f aca="false">IF($A379="","",IFERROR(INDEX(Denetimler!$B:$B,MATCH($A379,Denetimler!$A:$A,0)),"No yok"))</f>
        <v/>
      </c>
    </row>
    <row r="380" customFormat="false" ht="15" hidden="false" customHeight="false" outlineLevel="0" collapsed="false">
      <c r="D380" s="19" t="str">
        <f aca="false">IF($B380="","",IFERROR(INDEX(Madde_Listesi!$C:$C,MATCH($B380,Madde_Listesi!$B:$B,0)),"Kod yok"))</f>
        <v/>
      </c>
      <c r="E380" s="19" t="str">
        <f aca="false">IF($B380="","",IFERROR(INDEX(Madde_Listesi!$D:$D,MATCH($B380,Madde_Listesi!$B:$B,0)),"Kod yok"))</f>
        <v/>
      </c>
      <c r="F380" s="19" t="str">
        <f aca="false">IF($B380="","",IFERROR(INDEX(Madde_Listesi!$E:$E,MATCH($B380,Madde_Listesi!$B:$B,0)),"Kod yok"))</f>
        <v/>
      </c>
      <c r="G380" s="19" t="str">
        <f aca="false">IF($B380="","",IFERROR(INDEX(Madde_Listesi!$F:$F,MATCH($B380,Madde_Listesi!$B:$B,0)),"Kod yok"))</f>
        <v/>
      </c>
      <c r="H380" s="19" t="str">
        <f aca="false">IF($A380="","",IFERROR(INDEX(Denetimler!$C:$C,MATCH($A380,Denetimler!$A:$A,0)),"No yok"))</f>
        <v/>
      </c>
      <c r="I380" s="19" t="str">
        <f aca="false">IF($A380="","",IFERROR(INDEX(Denetimler!$D:$D,MATCH($A380,Denetimler!$A:$A,0)),"No yok"))</f>
        <v/>
      </c>
      <c r="J380" s="19" t="str">
        <f aca="false">IF($A380="","",IFERROR(INDEX(Denetimler!$E:$E,MATCH($A380,Denetimler!$A:$A,0)),"No yok"))</f>
        <v/>
      </c>
      <c r="K380" s="25" t="str">
        <f aca="false">IF($A380="","",IFERROR(INDEX(Denetimler!$B:$B,MATCH($A380,Denetimler!$A:$A,0)),"No yok"))</f>
        <v/>
      </c>
    </row>
    <row r="381" customFormat="false" ht="15" hidden="false" customHeight="false" outlineLevel="0" collapsed="false">
      <c r="D381" s="19" t="str">
        <f aca="false">IF($B381="","",IFERROR(INDEX(Madde_Listesi!$C:$C,MATCH($B381,Madde_Listesi!$B:$B,0)),"Kod yok"))</f>
        <v/>
      </c>
      <c r="E381" s="19" t="str">
        <f aca="false">IF($B381="","",IFERROR(INDEX(Madde_Listesi!$D:$D,MATCH($B381,Madde_Listesi!$B:$B,0)),"Kod yok"))</f>
        <v/>
      </c>
      <c r="F381" s="19" t="str">
        <f aca="false">IF($B381="","",IFERROR(INDEX(Madde_Listesi!$E:$E,MATCH($B381,Madde_Listesi!$B:$B,0)),"Kod yok"))</f>
        <v/>
      </c>
      <c r="G381" s="19" t="str">
        <f aca="false">IF($B381="","",IFERROR(INDEX(Madde_Listesi!$F:$F,MATCH($B381,Madde_Listesi!$B:$B,0)),"Kod yok"))</f>
        <v/>
      </c>
      <c r="H381" s="19" t="str">
        <f aca="false">IF($A381="","",IFERROR(INDEX(Denetimler!$C:$C,MATCH($A381,Denetimler!$A:$A,0)),"No yok"))</f>
        <v/>
      </c>
      <c r="I381" s="19" t="str">
        <f aca="false">IF($A381="","",IFERROR(INDEX(Denetimler!$D:$D,MATCH($A381,Denetimler!$A:$A,0)),"No yok"))</f>
        <v/>
      </c>
      <c r="J381" s="19" t="str">
        <f aca="false">IF($A381="","",IFERROR(INDEX(Denetimler!$E:$E,MATCH($A381,Denetimler!$A:$A,0)),"No yok"))</f>
        <v/>
      </c>
      <c r="K381" s="25" t="str">
        <f aca="false">IF($A381="","",IFERROR(INDEX(Denetimler!$B:$B,MATCH($A381,Denetimler!$A:$A,0)),"No yok"))</f>
        <v/>
      </c>
    </row>
    <row r="382" customFormat="false" ht="15" hidden="false" customHeight="false" outlineLevel="0" collapsed="false">
      <c r="D382" s="19" t="str">
        <f aca="false">IF($B382="","",IFERROR(INDEX(Madde_Listesi!$C:$C,MATCH($B382,Madde_Listesi!$B:$B,0)),"Kod yok"))</f>
        <v/>
      </c>
      <c r="E382" s="19" t="str">
        <f aca="false">IF($B382="","",IFERROR(INDEX(Madde_Listesi!$D:$D,MATCH($B382,Madde_Listesi!$B:$B,0)),"Kod yok"))</f>
        <v/>
      </c>
      <c r="F382" s="19" t="str">
        <f aca="false">IF($B382="","",IFERROR(INDEX(Madde_Listesi!$E:$E,MATCH($B382,Madde_Listesi!$B:$B,0)),"Kod yok"))</f>
        <v/>
      </c>
      <c r="G382" s="19" t="str">
        <f aca="false">IF($B382="","",IFERROR(INDEX(Madde_Listesi!$F:$F,MATCH($B382,Madde_Listesi!$B:$B,0)),"Kod yok"))</f>
        <v/>
      </c>
      <c r="H382" s="19" t="str">
        <f aca="false">IF($A382="","",IFERROR(INDEX(Denetimler!$C:$C,MATCH($A382,Denetimler!$A:$A,0)),"No yok"))</f>
        <v/>
      </c>
      <c r="I382" s="19" t="str">
        <f aca="false">IF($A382="","",IFERROR(INDEX(Denetimler!$D:$D,MATCH($A382,Denetimler!$A:$A,0)),"No yok"))</f>
        <v/>
      </c>
      <c r="J382" s="19" t="str">
        <f aca="false">IF($A382="","",IFERROR(INDEX(Denetimler!$E:$E,MATCH($A382,Denetimler!$A:$A,0)),"No yok"))</f>
        <v/>
      </c>
      <c r="K382" s="25" t="str">
        <f aca="false">IF($A382="","",IFERROR(INDEX(Denetimler!$B:$B,MATCH($A382,Denetimler!$A:$A,0)),"No yok"))</f>
        <v/>
      </c>
    </row>
    <row r="383" customFormat="false" ht="15" hidden="false" customHeight="false" outlineLevel="0" collapsed="false">
      <c r="D383" s="19" t="str">
        <f aca="false">IF($B383="","",IFERROR(INDEX(Madde_Listesi!$C:$C,MATCH($B383,Madde_Listesi!$B:$B,0)),"Kod yok"))</f>
        <v/>
      </c>
      <c r="E383" s="19" t="str">
        <f aca="false">IF($B383="","",IFERROR(INDEX(Madde_Listesi!$D:$D,MATCH($B383,Madde_Listesi!$B:$B,0)),"Kod yok"))</f>
        <v/>
      </c>
      <c r="F383" s="19" t="str">
        <f aca="false">IF($B383="","",IFERROR(INDEX(Madde_Listesi!$E:$E,MATCH($B383,Madde_Listesi!$B:$B,0)),"Kod yok"))</f>
        <v/>
      </c>
      <c r="G383" s="19" t="str">
        <f aca="false">IF($B383="","",IFERROR(INDEX(Madde_Listesi!$F:$F,MATCH($B383,Madde_Listesi!$B:$B,0)),"Kod yok"))</f>
        <v/>
      </c>
      <c r="H383" s="19" t="str">
        <f aca="false">IF($A383="","",IFERROR(INDEX(Denetimler!$C:$C,MATCH($A383,Denetimler!$A:$A,0)),"No yok"))</f>
        <v/>
      </c>
      <c r="I383" s="19" t="str">
        <f aca="false">IF($A383="","",IFERROR(INDEX(Denetimler!$D:$D,MATCH($A383,Denetimler!$A:$A,0)),"No yok"))</f>
        <v/>
      </c>
      <c r="J383" s="19" t="str">
        <f aca="false">IF($A383="","",IFERROR(INDEX(Denetimler!$E:$E,MATCH($A383,Denetimler!$A:$A,0)),"No yok"))</f>
        <v/>
      </c>
      <c r="K383" s="25" t="str">
        <f aca="false">IF($A383="","",IFERROR(INDEX(Denetimler!$B:$B,MATCH($A383,Denetimler!$A:$A,0)),"No yok"))</f>
        <v/>
      </c>
    </row>
    <row r="384" customFormat="false" ht="15" hidden="false" customHeight="false" outlineLevel="0" collapsed="false">
      <c r="D384" s="19" t="str">
        <f aca="false">IF($B384="","",IFERROR(INDEX(Madde_Listesi!$C:$C,MATCH($B384,Madde_Listesi!$B:$B,0)),"Kod yok"))</f>
        <v/>
      </c>
      <c r="E384" s="19" t="str">
        <f aca="false">IF($B384="","",IFERROR(INDEX(Madde_Listesi!$D:$D,MATCH($B384,Madde_Listesi!$B:$B,0)),"Kod yok"))</f>
        <v/>
      </c>
      <c r="F384" s="19" t="str">
        <f aca="false">IF($B384="","",IFERROR(INDEX(Madde_Listesi!$E:$E,MATCH($B384,Madde_Listesi!$B:$B,0)),"Kod yok"))</f>
        <v/>
      </c>
      <c r="G384" s="19" t="str">
        <f aca="false">IF($B384="","",IFERROR(INDEX(Madde_Listesi!$F:$F,MATCH($B384,Madde_Listesi!$B:$B,0)),"Kod yok"))</f>
        <v/>
      </c>
      <c r="H384" s="19" t="str">
        <f aca="false">IF($A384="","",IFERROR(INDEX(Denetimler!$C:$C,MATCH($A384,Denetimler!$A:$A,0)),"No yok"))</f>
        <v/>
      </c>
      <c r="I384" s="19" t="str">
        <f aca="false">IF($A384="","",IFERROR(INDEX(Denetimler!$D:$D,MATCH($A384,Denetimler!$A:$A,0)),"No yok"))</f>
        <v/>
      </c>
      <c r="J384" s="19" t="str">
        <f aca="false">IF($A384="","",IFERROR(INDEX(Denetimler!$E:$E,MATCH($A384,Denetimler!$A:$A,0)),"No yok"))</f>
        <v/>
      </c>
      <c r="K384" s="25" t="str">
        <f aca="false">IF($A384="","",IFERROR(INDEX(Denetimler!$B:$B,MATCH($A384,Denetimler!$A:$A,0)),"No yok"))</f>
        <v/>
      </c>
    </row>
    <row r="385" customFormat="false" ht="15" hidden="false" customHeight="false" outlineLevel="0" collapsed="false">
      <c r="D385" s="19" t="str">
        <f aca="false">IF($B385="","",IFERROR(INDEX(Madde_Listesi!$C:$C,MATCH($B385,Madde_Listesi!$B:$B,0)),"Kod yok"))</f>
        <v/>
      </c>
      <c r="E385" s="19" t="str">
        <f aca="false">IF($B385="","",IFERROR(INDEX(Madde_Listesi!$D:$D,MATCH($B385,Madde_Listesi!$B:$B,0)),"Kod yok"))</f>
        <v/>
      </c>
      <c r="F385" s="19" t="str">
        <f aca="false">IF($B385="","",IFERROR(INDEX(Madde_Listesi!$E:$E,MATCH($B385,Madde_Listesi!$B:$B,0)),"Kod yok"))</f>
        <v/>
      </c>
      <c r="G385" s="19" t="str">
        <f aca="false">IF($B385="","",IFERROR(INDEX(Madde_Listesi!$F:$F,MATCH($B385,Madde_Listesi!$B:$B,0)),"Kod yok"))</f>
        <v/>
      </c>
      <c r="H385" s="19" t="str">
        <f aca="false">IF($A385="","",IFERROR(INDEX(Denetimler!$C:$C,MATCH($A385,Denetimler!$A:$A,0)),"No yok"))</f>
        <v/>
      </c>
      <c r="I385" s="19" t="str">
        <f aca="false">IF($A385="","",IFERROR(INDEX(Denetimler!$D:$D,MATCH($A385,Denetimler!$A:$A,0)),"No yok"))</f>
        <v/>
      </c>
      <c r="J385" s="19" t="str">
        <f aca="false">IF($A385="","",IFERROR(INDEX(Denetimler!$E:$E,MATCH($A385,Denetimler!$A:$A,0)),"No yok"))</f>
        <v/>
      </c>
      <c r="K385" s="25" t="str">
        <f aca="false">IF($A385="","",IFERROR(INDEX(Denetimler!$B:$B,MATCH($A385,Denetimler!$A:$A,0)),"No yok"))</f>
        <v/>
      </c>
    </row>
    <row r="386" customFormat="false" ht="15" hidden="false" customHeight="false" outlineLevel="0" collapsed="false">
      <c r="D386" s="19" t="str">
        <f aca="false">IF($B386="","",IFERROR(INDEX(Madde_Listesi!$C:$C,MATCH($B386,Madde_Listesi!$B:$B,0)),"Kod yok"))</f>
        <v/>
      </c>
      <c r="E386" s="19" t="str">
        <f aca="false">IF($B386="","",IFERROR(INDEX(Madde_Listesi!$D:$D,MATCH($B386,Madde_Listesi!$B:$B,0)),"Kod yok"))</f>
        <v/>
      </c>
      <c r="F386" s="19" t="str">
        <f aca="false">IF($B386="","",IFERROR(INDEX(Madde_Listesi!$E:$E,MATCH($B386,Madde_Listesi!$B:$B,0)),"Kod yok"))</f>
        <v/>
      </c>
      <c r="G386" s="19" t="str">
        <f aca="false">IF($B386="","",IFERROR(INDEX(Madde_Listesi!$F:$F,MATCH($B386,Madde_Listesi!$B:$B,0)),"Kod yok"))</f>
        <v/>
      </c>
      <c r="H386" s="19" t="str">
        <f aca="false">IF($A386="","",IFERROR(INDEX(Denetimler!$C:$C,MATCH($A386,Denetimler!$A:$A,0)),"No yok"))</f>
        <v/>
      </c>
      <c r="I386" s="19" t="str">
        <f aca="false">IF($A386="","",IFERROR(INDEX(Denetimler!$D:$D,MATCH($A386,Denetimler!$A:$A,0)),"No yok"))</f>
        <v/>
      </c>
      <c r="J386" s="19" t="str">
        <f aca="false">IF($A386="","",IFERROR(INDEX(Denetimler!$E:$E,MATCH($A386,Denetimler!$A:$A,0)),"No yok"))</f>
        <v/>
      </c>
      <c r="K386" s="25" t="str">
        <f aca="false">IF($A386="","",IFERROR(INDEX(Denetimler!$B:$B,MATCH($A386,Denetimler!$A:$A,0)),"No yok"))</f>
        <v/>
      </c>
    </row>
    <row r="387" customFormat="false" ht="15" hidden="false" customHeight="false" outlineLevel="0" collapsed="false">
      <c r="D387" s="19" t="str">
        <f aca="false">IF($B387="","",IFERROR(INDEX(Madde_Listesi!$C:$C,MATCH($B387,Madde_Listesi!$B:$B,0)),"Kod yok"))</f>
        <v/>
      </c>
      <c r="E387" s="19" t="str">
        <f aca="false">IF($B387="","",IFERROR(INDEX(Madde_Listesi!$D:$D,MATCH($B387,Madde_Listesi!$B:$B,0)),"Kod yok"))</f>
        <v/>
      </c>
      <c r="F387" s="19" t="str">
        <f aca="false">IF($B387="","",IFERROR(INDEX(Madde_Listesi!$E:$E,MATCH($B387,Madde_Listesi!$B:$B,0)),"Kod yok"))</f>
        <v/>
      </c>
      <c r="G387" s="19" t="str">
        <f aca="false">IF($B387="","",IFERROR(INDEX(Madde_Listesi!$F:$F,MATCH($B387,Madde_Listesi!$B:$B,0)),"Kod yok"))</f>
        <v/>
      </c>
      <c r="H387" s="19" t="str">
        <f aca="false">IF($A387="","",IFERROR(INDEX(Denetimler!$C:$C,MATCH($A387,Denetimler!$A:$A,0)),"No yok"))</f>
        <v/>
      </c>
      <c r="I387" s="19" t="str">
        <f aca="false">IF($A387="","",IFERROR(INDEX(Denetimler!$D:$D,MATCH($A387,Denetimler!$A:$A,0)),"No yok"))</f>
        <v/>
      </c>
      <c r="J387" s="19" t="str">
        <f aca="false">IF($A387="","",IFERROR(INDEX(Denetimler!$E:$E,MATCH($A387,Denetimler!$A:$A,0)),"No yok"))</f>
        <v/>
      </c>
      <c r="K387" s="25" t="str">
        <f aca="false">IF($A387="","",IFERROR(INDEX(Denetimler!$B:$B,MATCH($A387,Denetimler!$A:$A,0)),"No yok"))</f>
        <v/>
      </c>
    </row>
    <row r="388" customFormat="false" ht="15" hidden="false" customHeight="false" outlineLevel="0" collapsed="false">
      <c r="D388" s="19" t="str">
        <f aca="false">IF($B388="","",IFERROR(INDEX(Madde_Listesi!$C:$C,MATCH($B388,Madde_Listesi!$B:$B,0)),"Kod yok"))</f>
        <v/>
      </c>
      <c r="E388" s="19" t="str">
        <f aca="false">IF($B388="","",IFERROR(INDEX(Madde_Listesi!$D:$D,MATCH($B388,Madde_Listesi!$B:$B,0)),"Kod yok"))</f>
        <v/>
      </c>
      <c r="F388" s="19" t="str">
        <f aca="false">IF($B388="","",IFERROR(INDEX(Madde_Listesi!$E:$E,MATCH($B388,Madde_Listesi!$B:$B,0)),"Kod yok"))</f>
        <v/>
      </c>
      <c r="G388" s="19" t="str">
        <f aca="false">IF($B388="","",IFERROR(INDEX(Madde_Listesi!$F:$F,MATCH($B388,Madde_Listesi!$B:$B,0)),"Kod yok"))</f>
        <v/>
      </c>
      <c r="H388" s="19" t="str">
        <f aca="false">IF($A388="","",IFERROR(INDEX(Denetimler!$C:$C,MATCH($A388,Denetimler!$A:$A,0)),"No yok"))</f>
        <v/>
      </c>
      <c r="I388" s="19" t="str">
        <f aca="false">IF($A388="","",IFERROR(INDEX(Denetimler!$D:$D,MATCH($A388,Denetimler!$A:$A,0)),"No yok"))</f>
        <v/>
      </c>
      <c r="J388" s="19" t="str">
        <f aca="false">IF($A388="","",IFERROR(INDEX(Denetimler!$E:$E,MATCH($A388,Denetimler!$A:$A,0)),"No yok"))</f>
        <v/>
      </c>
      <c r="K388" s="25" t="str">
        <f aca="false">IF($A388="","",IFERROR(INDEX(Denetimler!$B:$B,MATCH($A388,Denetimler!$A:$A,0)),"No yok"))</f>
        <v/>
      </c>
    </row>
    <row r="389" customFormat="false" ht="15" hidden="false" customHeight="false" outlineLevel="0" collapsed="false">
      <c r="D389" s="19" t="str">
        <f aca="false">IF($B389="","",IFERROR(INDEX(Madde_Listesi!$C:$C,MATCH($B389,Madde_Listesi!$B:$B,0)),"Kod yok"))</f>
        <v/>
      </c>
      <c r="E389" s="19" t="str">
        <f aca="false">IF($B389="","",IFERROR(INDEX(Madde_Listesi!$D:$D,MATCH($B389,Madde_Listesi!$B:$B,0)),"Kod yok"))</f>
        <v/>
      </c>
      <c r="F389" s="19" t="str">
        <f aca="false">IF($B389="","",IFERROR(INDEX(Madde_Listesi!$E:$E,MATCH($B389,Madde_Listesi!$B:$B,0)),"Kod yok"))</f>
        <v/>
      </c>
      <c r="G389" s="19" t="str">
        <f aca="false">IF($B389="","",IFERROR(INDEX(Madde_Listesi!$F:$F,MATCH($B389,Madde_Listesi!$B:$B,0)),"Kod yok"))</f>
        <v/>
      </c>
      <c r="H389" s="19" t="str">
        <f aca="false">IF($A389="","",IFERROR(INDEX(Denetimler!$C:$C,MATCH($A389,Denetimler!$A:$A,0)),"No yok"))</f>
        <v/>
      </c>
      <c r="I389" s="19" t="str">
        <f aca="false">IF($A389="","",IFERROR(INDEX(Denetimler!$D:$D,MATCH($A389,Denetimler!$A:$A,0)),"No yok"))</f>
        <v/>
      </c>
      <c r="J389" s="19" t="str">
        <f aca="false">IF($A389="","",IFERROR(INDEX(Denetimler!$E:$E,MATCH($A389,Denetimler!$A:$A,0)),"No yok"))</f>
        <v/>
      </c>
      <c r="K389" s="25" t="str">
        <f aca="false">IF($A389="","",IFERROR(INDEX(Denetimler!$B:$B,MATCH($A389,Denetimler!$A:$A,0)),"No yok"))</f>
        <v/>
      </c>
    </row>
    <row r="390" customFormat="false" ht="15" hidden="false" customHeight="false" outlineLevel="0" collapsed="false">
      <c r="D390" s="19" t="str">
        <f aca="false">IF($B390="","",IFERROR(INDEX(Madde_Listesi!$C:$C,MATCH($B390,Madde_Listesi!$B:$B,0)),"Kod yok"))</f>
        <v/>
      </c>
      <c r="E390" s="19" t="str">
        <f aca="false">IF($B390="","",IFERROR(INDEX(Madde_Listesi!$D:$D,MATCH($B390,Madde_Listesi!$B:$B,0)),"Kod yok"))</f>
        <v/>
      </c>
      <c r="F390" s="19" t="str">
        <f aca="false">IF($B390="","",IFERROR(INDEX(Madde_Listesi!$E:$E,MATCH($B390,Madde_Listesi!$B:$B,0)),"Kod yok"))</f>
        <v/>
      </c>
      <c r="G390" s="19" t="str">
        <f aca="false">IF($B390="","",IFERROR(INDEX(Madde_Listesi!$F:$F,MATCH($B390,Madde_Listesi!$B:$B,0)),"Kod yok"))</f>
        <v/>
      </c>
      <c r="H390" s="19" t="str">
        <f aca="false">IF($A390="","",IFERROR(INDEX(Denetimler!$C:$C,MATCH($A390,Denetimler!$A:$A,0)),"No yok"))</f>
        <v/>
      </c>
      <c r="I390" s="19" t="str">
        <f aca="false">IF($A390="","",IFERROR(INDEX(Denetimler!$D:$D,MATCH($A390,Denetimler!$A:$A,0)),"No yok"))</f>
        <v/>
      </c>
      <c r="J390" s="19" t="str">
        <f aca="false">IF($A390="","",IFERROR(INDEX(Denetimler!$E:$E,MATCH($A390,Denetimler!$A:$A,0)),"No yok"))</f>
        <v/>
      </c>
      <c r="K390" s="25" t="str">
        <f aca="false">IF($A390="","",IFERROR(INDEX(Denetimler!$B:$B,MATCH($A390,Denetimler!$A:$A,0)),"No yok"))</f>
        <v/>
      </c>
    </row>
    <row r="391" customFormat="false" ht="15" hidden="false" customHeight="false" outlineLevel="0" collapsed="false">
      <c r="D391" s="19" t="str">
        <f aca="false">IF($B391="","",IFERROR(INDEX(Madde_Listesi!$C:$C,MATCH($B391,Madde_Listesi!$B:$B,0)),"Kod yok"))</f>
        <v/>
      </c>
      <c r="E391" s="19" t="str">
        <f aca="false">IF($B391="","",IFERROR(INDEX(Madde_Listesi!$D:$D,MATCH($B391,Madde_Listesi!$B:$B,0)),"Kod yok"))</f>
        <v/>
      </c>
      <c r="F391" s="19" t="str">
        <f aca="false">IF($B391="","",IFERROR(INDEX(Madde_Listesi!$E:$E,MATCH($B391,Madde_Listesi!$B:$B,0)),"Kod yok"))</f>
        <v/>
      </c>
      <c r="G391" s="19" t="str">
        <f aca="false">IF($B391="","",IFERROR(INDEX(Madde_Listesi!$F:$F,MATCH($B391,Madde_Listesi!$B:$B,0)),"Kod yok"))</f>
        <v/>
      </c>
      <c r="H391" s="19" t="str">
        <f aca="false">IF($A391="","",IFERROR(INDEX(Denetimler!$C:$C,MATCH($A391,Denetimler!$A:$A,0)),"No yok"))</f>
        <v/>
      </c>
      <c r="I391" s="19" t="str">
        <f aca="false">IF($A391="","",IFERROR(INDEX(Denetimler!$D:$D,MATCH($A391,Denetimler!$A:$A,0)),"No yok"))</f>
        <v/>
      </c>
      <c r="J391" s="19" t="str">
        <f aca="false">IF($A391="","",IFERROR(INDEX(Denetimler!$E:$E,MATCH($A391,Denetimler!$A:$A,0)),"No yok"))</f>
        <v/>
      </c>
      <c r="K391" s="25" t="str">
        <f aca="false">IF($A391="","",IFERROR(INDEX(Denetimler!$B:$B,MATCH($A391,Denetimler!$A:$A,0)),"No yok"))</f>
        <v/>
      </c>
    </row>
    <row r="392" customFormat="false" ht="15" hidden="false" customHeight="false" outlineLevel="0" collapsed="false">
      <c r="D392" s="19" t="str">
        <f aca="false">IF($B392="","",IFERROR(INDEX(Madde_Listesi!$C:$C,MATCH($B392,Madde_Listesi!$B:$B,0)),"Kod yok"))</f>
        <v/>
      </c>
      <c r="E392" s="19" t="str">
        <f aca="false">IF($B392="","",IFERROR(INDEX(Madde_Listesi!$D:$D,MATCH($B392,Madde_Listesi!$B:$B,0)),"Kod yok"))</f>
        <v/>
      </c>
      <c r="F392" s="19" t="str">
        <f aca="false">IF($B392="","",IFERROR(INDEX(Madde_Listesi!$E:$E,MATCH($B392,Madde_Listesi!$B:$B,0)),"Kod yok"))</f>
        <v/>
      </c>
      <c r="G392" s="19" t="str">
        <f aca="false">IF($B392="","",IFERROR(INDEX(Madde_Listesi!$F:$F,MATCH($B392,Madde_Listesi!$B:$B,0)),"Kod yok"))</f>
        <v/>
      </c>
      <c r="H392" s="19" t="str">
        <f aca="false">IF($A392="","",IFERROR(INDEX(Denetimler!$C:$C,MATCH($A392,Denetimler!$A:$A,0)),"No yok"))</f>
        <v/>
      </c>
      <c r="I392" s="19" t="str">
        <f aca="false">IF($A392="","",IFERROR(INDEX(Denetimler!$D:$D,MATCH($A392,Denetimler!$A:$A,0)),"No yok"))</f>
        <v/>
      </c>
      <c r="J392" s="19" t="str">
        <f aca="false">IF($A392="","",IFERROR(INDEX(Denetimler!$E:$E,MATCH($A392,Denetimler!$A:$A,0)),"No yok"))</f>
        <v/>
      </c>
      <c r="K392" s="25" t="str">
        <f aca="false">IF($A392="","",IFERROR(INDEX(Denetimler!$B:$B,MATCH($A392,Denetimler!$A:$A,0)),"No yok"))</f>
        <v/>
      </c>
    </row>
    <row r="393" customFormat="false" ht="15" hidden="false" customHeight="false" outlineLevel="0" collapsed="false">
      <c r="D393" s="19" t="str">
        <f aca="false">IF($B393="","",IFERROR(INDEX(Madde_Listesi!$C:$C,MATCH($B393,Madde_Listesi!$B:$B,0)),"Kod yok"))</f>
        <v/>
      </c>
      <c r="E393" s="19" t="str">
        <f aca="false">IF($B393="","",IFERROR(INDEX(Madde_Listesi!$D:$D,MATCH($B393,Madde_Listesi!$B:$B,0)),"Kod yok"))</f>
        <v/>
      </c>
      <c r="F393" s="19" t="str">
        <f aca="false">IF($B393="","",IFERROR(INDEX(Madde_Listesi!$E:$E,MATCH($B393,Madde_Listesi!$B:$B,0)),"Kod yok"))</f>
        <v/>
      </c>
      <c r="G393" s="19" t="str">
        <f aca="false">IF($B393="","",IFERROR(INDEX(Madde_Listesi!$F:$F,MATCH($B393,Madde_Listesi!$B:$B,0)),"Kod yok"))</f>
        <v/>
      </c>
      <c r="H393" s="19" t="str">
        <f aca="false">IF($A393="","",IFERROR(INDEX(Denetimler!$C:$C,MATCH($A393,Denetimler!$A:$A,0)),"No yok"))</f>
        <v/>
      </c>
      <c r="I393" s="19" t="str">
        <f aca="false">IF($A393="","",IFERROR(INDEX(Denetimler!$D:$D,MATCH($A393,Denetimler!$A:$A,0)),"No yok"))</f>
        <v/>
      </c>
      <c r="J393" s="19" t="str">
        <f aca="false">IF($A393="","",IFERROR(INDEX(Denetimler!$E:$E,MATCH($A393,Denetimler!$A:$A,0)),"No yok"))</f>
        <v/>
      </c>
      <c r="K393" s="25" t="str">
        <f aca="false">IF($A393="","",IFERROR(INDEX(Denetimler!$B:$B,MATCH($A393,Denetimler!$A:$A,0)),"No yok"))</f>
        <v/>
      </c>
    </row>
    <row r="394" customFormat="false" ht="15" hidden="false" customHeight="false" outlineLevel="0" collapsed="false">
      <c r="D394" s="19" t="str">
        <f aca="false">IF($B394="","",IFERROR(INDEX(Madde_Listesi!$C:$C,MATCH($B394,Madde_Listesi!$B:$B,0)),"Kod yok"))</f>
        <v/>
      </c>
      <c r="E394" s="19" t="str">
        <f aca="false">IF($B394="","",IFERROR(INDEX(Madde_Listesi!$D:$D,MATCH($B394,Madde_Listesi!$B:$B,0)),"Kod yok"))</f>
        <v/>
      </c>
      <c r="F394" s="19" t="str">
        <f aca="false">IF($B394="","",IFERROR(INDEX(Madde_Listesi!$E:$E,MATCH($B394,Madde_Listesi!$B:$B,0)),"Kod yok"))</f>
        <v/>
      </c>
      <c r="G394" s="19" t="str">
        <f aca="false">IF($B394="","",IFERROR(INDEX(Madde_Listesi!$F:$F,MATCH($B394,Madde_Listesi!$B:$B,0)),"Kod yok"))</f>
        <v/>
      </c>
      <c r="H394" s="19" t="str">
        <f aca="false">IF($A394="","",IFERROR(INDEX(Denetimler!$C:$C,MATCH($A394,Denetimler!$A:$A,0)),"No yok"))</f>
        <v/>
      </c>
      <c r="I394" s="19" t="str">
        <f aca="false">IF($A394="","",IFERROR(INDEX(Denetimler!$D:$D,MATCH($A394,Denetimler!$A:$A,0)),"No yok"))</f>
        <v/>
      </c>
      <c r="J394" s="19" t="str">
        <f aca="false">IF($A394="","",IFERROR(INDEX(Denetimler!$E:$E,MATCH($A394,Denetimler!$A:$A,0)),"No yok"))</f>
        <v/>
      </c>
      <c r="K394" s="25" t="str">
        <f aca="false">IF($A394="","",IFERROR(INDEX(Denetimler!$B:$B,MATCH($A394,Denetimler!$A:$A,0)),"No yok"))</f>
        <v/>
      </c>
    </row>
    <row r="395" customFormat="false" ht="15" hidden="false" customHeight="false" outlineLevel="0" collapsed="false">
      <c r="D395" s="19" t="str">
        <f aca="false">IF($B395="","",IFERROR(INDEX(Madde_Listesi!$C:$C,MATCH($B395,Madde_Listesi!$B:$B,0)),"Kod yok"))</f>
        <v/>
      </c>
      <c r="E395" s="19" t="str">
        <f aca="false">IF($B395="","",IFERROR(INDEX(Madde_Listesi!$D:$D,MATCH($B395,Madde_Listesi!$B:$B,0)),"Kod yok"))</f>
        <v/>
      </c>
      <c r="F395" s="19" t="str">
        <f aca="false">IF($B395="","",IFERROR(INDEX(Madde_Listesi!$E:$E,MATCH($B395,Madde_Listesi!$B:$B,0)),"Kod yok"))</f>
        <v/>
      </c>
      <c r="G395" s="19" t="str">
        <f aca="false">IF($B395="","",IFERROR(INDEX(Madde_Listesi!$F:$F,MATCH($B395,Madde_Listesi!$B:$B,0)),"Kod yok"))</f>
        <v/>
      </c>
      <c r="H395" s="19" t="str">
        <f aca="false">IF($A395="","",IFERROR(INDEX(Denetimler!$C:$C,MATCH($A395,Denetimler!$A:$A,0)),"No yok"))</f>
        <v/>
      </c>
      <c r="I395" s="19" t="str">
        <f aca="false">IF($A395="","",IFERROR(INDEX(Denetimler!$D:$D,MATCH($A395,Denetimler!$A:$A,0)),"No yok"))</f>
        <v/>
      </c>
      <c r="J395" s="19" t="str">
        <f aca="false">IF($A395="","",IFERROR(INDEX(Denetimler!$E:$E,MATCH($A395,Denetimler!$A:$A,0)),"No yok"))</f>
        <v/>
      </c>
      <c r="K395" s="25" t="str">
        <f aca="false">IF($A395="","",IFERROR(INDEX(Denetimler!$B:$B,MATCH($A395,Denetimler!$A:$A,0)),"No yok"))</f>
        <v/>
      </c>
    </row>
    <row r="396" customFormat="false" ht="15" hidden="false" customHeight="false" outlineLevel="0" collapsed="false">
      <c r="D396" s="19" t="str">
        <f aca="false">IF($B396="","",IFERROR(INDEX(Madde_Listesi!$C:$C,MATCH($B396,Madde_Listesi!$B:$B,0)),"Kod yok"))</f>
        <v/>
      </c>
      <c r="E396" s="19" t="str">
        <f aca="false">IF($B396="","",IFERROR(INDEX(Madde_Listesi!$D:$D,MATCH($B396,Madde_Listesi!$B:$B,0)),"Kod yok"))</f>
        <v/>
      </c>
      <c r="F396" s="19" t="str">
        <f aca="false">IF($B396="","",IFERROR(INDEX(Madde_Listesi!$E:$E,MATCH($B396,Madde_Listesi!$B:$B,0)),"Kod yok"))</f>
        <v/>
      </c>
      <c r="G396" s="19" t="str">
        <f aca="false">IF($B396="","",IFERROR(INDEX(Madde_Listesi!$F:$F,MATCH($B396,Madde_Listesi!$B:$B,0)),"Kod yok"))</f>
        <v/>
      </c>
      <c r="H396" s="19" t="str">
        <f aca="false">IF($A396="","",IFERROR(INDEX(Denetimler!$C:$C,MATCH($A396,Denetimler!$A:$A,0)),"No yok"))</f>
        <v/>
      </c>
      <c r="I396" s="19" t="str">
        <f aca="false">IF($A396="","",IFERROR(INDEX(Denetimler!$D:$D,MATCH($A396,Denetimler!$A:$A,0)),"No yok"))</f>
        <v/>
      </c>
      <c r="J396" s="19" t="str">
        <f aca="false">IF($A396="","",IFERROR(INDEX(Denetimler!$E:$E,MATCH($A396,Denetimler!$A:$A,0)),"No yok"))</f>
        <v/>
      </c>
      <c r="K396" s="25" t="str">
        <f aca="false">IF($A396="","",IFERROR(INDEX(Denetimler!$B:$B,MATCH($A396,Denetimler!$A:$A,0)),"No yok"))</f>
        <v/>
      </c>
    </row>
    <row r="397" customFormat="false" ht="15" hidden="false" customHeight="false" outlineLevel="0" collapsed="false">
      <c r="D397" s="19" t="str">
        <f aca="false">IF($B397="","",IFERROR(INDEX(Madde_Listesi!$C:$C,MATCH($B397,Madde_Listesi!$B:$B,0)),"Kod yok"))</f>
        <v/>
      </c>
      <c r="E397" s="19" t="str">
        <f aca="false">IF($B397="","",IFERROR(INDEX(Madde_Listesi!$D:$D,MATCH($B397,Madde_Listesi!$B:$B,0)),"Kod yok"))</f>
        <v/>
      </c>
      <c r="F397" s="19" t="str">
        <f aca="false">IF($B397="","",IFERROR(INDEX(Madde_Listesi!$E:$E,MATCH($B397,Madde_Listesi!$B:$B,0)),"Kod yok"))</f>
        <v/>
      </c>
      <c r="G397" s="19" t="str">
        <f aca="false">IF($B397="","",IFERROR(INDEX(Madde_Listesi!$F:$F,MATCH($B397,Madde_Listesi!$B:$B,0)),"Kod yok"))</f>
        <v/>
      </c>
      <c r="H397" s="19" t="str">
        <f aca="false">IF($A397="","",IFERROR(INDEX(Denetimler!$C:$C,MATCH($A397,Denetimler!$A:$A,0)),"No yok"))</f>
        <v/>
      </c>
      <c r="I397" s="19" t="str">
        <f aca="false">IF($A397="","",IFERROR(INDEX(Denetimler!$D:$D,MATCH($A397,Denetimler!$A:$A,0)),"No yok"))</f>
        <v/>
      </c>
      <c r="J397" s="19" t="str">
        <f aca="false">IF($A397="","",IFERROR(INDEX(Denetimler!$E:$E,MATCH($A397,Denetimler!$A:$A,0)),"No yok"))</f>
        <v/>
      </c>
      <c r="K397" s="25" t="str">
        <f aca="false">IF($A397="","",IFERROR(INDEX(Denetimler!$B:$B,MATCH($A397,Denetimler!$A:$A,0)),"No yok"))</f>
        <v/>
      </c>
    </row>
    <row r="398" customFormat="false" ht="15" hidden="false" customHeight="false" outlineLevel="0" collapsed="false">
      <c r="D398" s="19" t="str">
        <f aca="false">IF($B398="","",IFERROR(INDEX(Madde_Listesi!$C:$C,MATCH($B398,Madde_Listesi!$B:$B,0)),"Kod yok"))</f>
        <v/>
      </c>
      <c r="E398" s="19" t="str">
        <f aca="false">IF($B398="","",IFERROR(INDEX(Madde_Listesi!$D:$D,MATCH($B398,Madde_Listesi!$B:$B,0)),"Kod yok"))</f>
        <v/>
      </c>
      <c r="F398" s="19" t="str">
        <f aca="false">IF($B398="","",IFERROR(INDEX(Madde_Listesi!$E:$E,MATCH($B398,Madde_Listesi!$B:$B,0)),"Kod yok"))</f>
        <v/>
      </c>
      <c r="G398" s="19" t="str">
        <f aca="false">IF($B398="","",IFERROR(INDEX(Madde_Listesi!$F:$F,MATCH($B398,Madde_Listesi!$B:$B,0)),"Kod yok"))</f>
        <v/>
      </c>
      <c r="H398" s="19" t="str">
        <f aca="false">IF($A398="","",IFERROR(INDEX(Denetimler!$C:$C,MATCH($A398,Denetimler!$A:$A,0)),"No yok"))</f>
        <v/>
      </c>
      <c r="I398" s="19" t="str">
        <f aca="false">IF($A398="","",IFERROR(INDEX(Denetimler!$D:$D,MATCH($A398,Denetimler!$A:$A,0)),"No yok"))</f>
        <v/>
      </c>
      <c r="J398" s="19" t="str">
        <f aca="false">IF($A398="","",IFERROR(INDEX(Denetimler!$E:$E,MATCH($A398,Denetimler!$A:$A,0)),"No yok"))</f>
        <v/>
      </c>
      <c r="K398" s="25" t="str">
        <f aca="false">IF($A398="","",IFERROR(INDEX(Denetimler!$B:$B,MATCH($A398,Denetimler!$A:$A,0)),"No yok"))</f>
        <v/>
      </c>
    </row>
    <row r="399" customFormat="false" ht="15" hidden="false" customHeight="false" outlineLevel="0" collapsed="false">
      <c r="D399" s="19" t="str">
        <f aca="false">IF($B399="","",IFERROR(INDEX(Madde_Listesi!$C:$C,MATCH($B399,Madde_Listesi!$B:$B,0)),"Kod yok"))</f>
        <v/>
      </c>
      <c r="E399" s="19" t="str">
        <f aca="false">IF($B399="","",IFERROR(INDEX(Madde_Listesi!$D:$D,MATCH($B399,Madde_Listesi!$B:$B,0)),"Kod yok"))</f>
        <v/>
      </c>
      <c r="F399" s="19" t="str">
        <f aca="false">IF($B399="","",IFERROR(INDEX(Madde_Listesi!$E:$E,MATCH($B399,Madde_Listesi!$B:$B,0)),"Kod yok"))</f>
        <v/>
      </c>
      <c r="G399" s="19" t="str">
        <f aca="false">IF($B399="","",IFERROR(INDEX(Madde_Listesi!$F:$F,MATCH($B399,Madde_Listesi!$B:$B,0)),"Kod yok"))</f>
        <v/>
      </c>
      <c r="H399" s="19" t="str">
        <f aca="false">IF($A399="","",IFERROR(INDEX(Denetimler!$C:$C,MATCH($A399,Denetimler!$A:$A,0)),"No yok"))</f>
        <v/>
      </c>
      <c r="I399" s="19" t="str">
        <f aca="false">IF($A399="","",IFERROR(INDEX(Denetimler!$D:$D,MATCH($A399,Denetimler!$A:$A,0)),"No yok"))</f>
        <v/>
      </c>
      <c r="J399" s="19" t="str">
        <f aca="false">IF($A399="","",IFERROR(INDEX(Denetimler!$E:$E,MATCH($A399,Denetimler!$A:$A,0)),"No yok"))</f>
        <v/>
      </c>
      <c r="K399" s="25" t="str">
        <f aca="false">IF($A399="","",IFERROR(INDEX(Denetimler!$B:$B,MATCH($A399,Denetimler!$A:$A,0)),"No yok"))</f>
        <v/>
      </c>
    </row>
    <row r="400" customFormat="false" ht="15" hidden="false" customHeight="false" outlineLevel="0" collapsed="false">
      <c r="D400" s="19" t="str">
        <f aca="false">IF($B400="","",IFERROR(INDEX(Madde_Listesi!$C:$C,MATCH($B400,Madde_Listesi!$B:$B,0)),"Kod yok"))</f>
        <v/>
      </c>
      <c r="E400" s="19" t="str">
        <f aca="false">IF($B400="","",IFERROR(INDEX(Madde_Listesi!$D:$D,MATCH($B400,Madde_Listesi!$B:$B,0)),"Kod yok"))</f>
        <v/>
      </c>
      <c r="F400" s="19" t="str">
        <f aca="false">IF($B400="","",IFERROR(INDEX(Madde_Listesi!$E:$E,MATCH($B400,Madde_Listesi!$B:$B,0)),"Kod yok"))</f>
        <v/>
      </c>
      <c r="G400" s="19" t="str">
        <f aca="false">IF($B400="","",IFERROR(INDEX(Madde_Listesi!$F:$F,MATCH($B400,Madde_Listesi!$B:$B,0)),"Kod yok"))</f>
        <v/>
      </c>
      <c r="H400" s="19" t="str">
        <f aca="false">IF($A400="","",IFERROR(INDEX(Denetimler!$C:$C,MATCH($A400,Denetimler!$A:$A,0)),"No yok"))</f>
        <v/>
      </c>
      <c r="I400" s="19" t="str">
        <f aca="false">IF($A400="","",IFERROR(INDEX(Denetimler!$D:$D,MATCH($A400,Denetimler!$A:$A,0)),"No yok"))</f>
        <v/>
      </c>
      <c r="J400" s="19" t="str">
        <f aca="false">IF($A400="","",IFERROR(INDEX(Denetimler!$E:$E,MATCH($A400,Denetimler!$A:$A,0)),"No yok"))</f>
        <v/>
      </c>
      <c r="K400" s="25" t="str">
        <f aca="false">IF($A400="","",IFERROR(INDEX(Denetimler!$B:$B,MATCH($A400,Denetimler!$A:$A,0)),"No yok"))</f>
        <v/>
      </c>
    </row>
    <row r="401" customFormat="false" ht="15" hidden="false" customHeight="false" outlineLevel="0" collapsed="false">
      <c r="D401" s="19" t="str">
        <f aca="false">IF($B401="","",IFERROR(INDEX(Madde_Listesi!$C:$C,MATCH($B401,Madde_Listesi!$B:$B,0)),"Kod yok"))</f>
        <v/>
      </c>
      <c r="E401" s="19" t="str">
        <f aca="false">IF($B401="","",IFERROR(INDEX(Madde_Listesi!$D:$D,MATCH($B401,Madde_Listesi!$B:$B,0)),"Kod yok"))</f>
        <v/>
      </c>
      <c r="F401" s="19" t="str">
        <f aca="false">IF($B401="","",IFERROR(INDEX(Madde_Listesi!$E:$E,MATCH($B401,Madde_Listesi!$B:$B,0)),"Kod yok"))</f>
        <v/>
      </c>
      <c r="G401" s="19" t="str">
        <f aca="false">IF($B401="","",IFERROR(INDEX(Madde_Listesi!$F:$F,MATCH($B401,Madde_Listesi!$B:$B,0)),"Kod yok"))</f>
        <v/>
      </c>
      <c r="H401" s="19" t="str">
        <f aca="false">IF($A401="","",IFERROR(INDEX(Denetimler!$C:$C,MATCH($A401,Denetimler!$A:$A,0)),"No yok"))</f>
        <v/>
      </c>
      <c r="I401" s="19" t="str">
        <f aca="false">IF($A401="","",IFERROR(INDEX(Denetimler!$D:$D,MATCH($A401,Denetimler!$A:$A,0)),"No yok"))</f>
        <v/>
      </c>
      <c r="J401" s="19" t="str">
        <f aca="false">IF($A401="","",IFERROR(INDEX(Denetimler!$E:$E,MATCH($A401,Denetimler!$A:$A,0)),"No yok"))</f>
        <v/>
      </c>
      <c r="K401" s="25" t="str">
        <f aca="false">IF($A401="","",IFERROR(INDEX(Denetimler!$B:$B,MATCH($A401,Denetimler!$A:$A,0)),"No yok"))</f>
        <v/>
      </c>
    </row>
    <row r="402" customFormat="false" ht="15" hidden="false" customHeight="false" outlineLevel="0" collapsed="false">
      <c r="D402" s="19" t="str">
        <f aca="false">IF($B402="","",IFERROR(INDEX(Madde_Listesi!$C:$C,MATCH($B402,Madde_Listesi!$B:$B,0)),"Kod yok"))</f>
        <v/>
      </c>
      <c r="E402" s="19" t="str">
        <f aca="false">IF($B402="","",IFERROR(INDEX(Madde_Listesi!$D:$D,MATCH($B402,Madde_Listesi!$B:$B,0)),"Kod yok"))</f>
        <v/>
      </c>
      <c r="F402" s="19" t="str">
        <f aca="false">IF($B402="","",IFERROR(INDEX(Madde_Listesi!$E:$E,MATCH($B402,Madde_Listesi!$B:$B,0)),"Kod yok"))</f>
        <v/>
      </c>
      <c r="G402" s="19" t="str">
        <f aca="false">IF($B402="","",IFERROR(INDEX(Madde_Listesi!$F:$F,MATCH($B402,Madde_Listesi!$B:$B,0)),"Kod yok"))</f>
        <v/>
      </c>
      <c r="H402" s="19" t="str">
        <f aca="false">IF($A402="","",IFERROR(INDEX(Denetimler!$C:$C,MATCH($A402,Denetimler!$A:$A,0)),"No yok"))</f>
        <v/>
      </c>
      <c r="I402" s="19" t="str">
        <f aca="false">IF($A402="","",IFERROR(INDEX(Denetimler!$D:$D,MATCH($A402,Denetimler!$A:$A,0)),"No yok"))</f>
        <v/>
      </c>
      <c r="J402" s="19" t="str">
        <f aca="false">IF($A402="","",IFERROR(INDEX(Denetimler!$E:$E,MATCH($A402,Denetimler!$A:$A,0)),"No yok"))</f>
        <v/>
      </c>
      <c r="K402" s="25" t="str">
        <f aca="false">IF($A402="","",IFERROR(INDEX(Denetimler!$B:$B,MATCH($A402,Denetimler!$A:$A,0)),"No yok"))</f>
        <v/>
      </c>
    </row>
    <row r="403" customFormat="false" ht="15" hidden="false" customHeight="false" outlineLevel="0" collapsed="false">
      <c r="D403" s="19" t="str">
        <f aca="false">IF($B403="","",IFERROR(INDEX(Madde_Listesi!$C:$C,MATCH($B403,Madde_Listesi!$B:$B,0)),"Kod yok"))</f>
        <v/>
      </c>
      <c r="E403" s="19" t="str">
        <f aca="false">IF($B403="","",IFERROR(INDEX(Madde_Listesi!$D:$D,MATCH($B403,Madde_Listesi!$B:$B,0)),"Kod yok"))</f>
        <v/>
      </c>
      <c r="F403" s="19" t="str">
        <f aca="false">IF($B403="","",IFERROR(INDEX(Madde_Listesi!$E:$E,MATCH($B403,Madde_Listesi!$B:$B,0)),"Kod yok"))</f>
        <v/>
      </c>
      <c r="G403" s="19" t="str">
        <f aca="false">IF($B403="","",IFERROR(INDEX(Madde_Listesi!$F:$F,MATCH($B403,Madde_Listesi!$B:$B,0)),"Kod yok"))</f>
        <v/>
      </c>
      <c r="H403" s="19" t="str">
        <f aca="false">IF($A403="","",IFERROR(INDEX(Denetimler!$C:$C,MATCH($A403,Denetimler!$A:$A,0)),"No yok"))</f>
        <v/>
      </c>
      <c r="I403" s="19" t="str">
        <f aca="false">IF($A403="","",IFERROR(INDEX(Denetimler!$D:$D,MATCH($A403,Denetimler!$A:$A,0)),"No yok"))</f>
        <v/>
      </c>
      <c r="J403" s="19" t="str">
        <f aca="false">IF($A403="","",IFERROR(INDEX(Denetimler!$E:$E,MATCH($A403,Denetimler!$A:$A,0)),"No yok"))</f>
        <v/>
      </c>
      <c r="K403" s="25" t="str">
        <f aca="false">IF($A403="","",IFERROR(INDEX(Denetimler!$B:$B,MATCH($A403,Denetimler!$A:$A,0)),"No yok"))</f>
        <v/>
      </c>
    </row>
    <row r="404" customFormat="false" ht="15" hidden="false" customHeight="false" outlineLevel="0" collapsed="false">
      <c r="D404" s="19" t="str">
        <f aca="false">IF($B404="","",IFERROR(INDEX(Madde_Listesi!$C:$C,MATCH($B404,Madde_Listesi!$B:$B,0)),"Kod yok"))</f>
        <v/>
      </c>
      <c r="E404" s="19" t="str">
        <f aca="false">IF($B404="","",IFERROR(INDEX(Madde_Listesi!$D:$D,MATCH($B404,Madde_Listesi!$B:$B,0)),"Kod yok"))</f>
        <v/>
      </c>
      <c r="F404" s="19" t="str">
        <f aca="false">IF($B404="","",IFERROR(INDEX(Madde_Listesi!$E:$E,MATCH($B404,Madde_Listesi!$B:$B,0)),"Kod yok"))</f>
        <v/>
      </c>
      <c r="G404" s="19" t="str">
        <f aca="false">IF($B404="","",IFERROR(INDEX(Madde_Listesi!$F:$F,MATCH($B404,Madde_Listesi!$B:$B,0)),"Kod yok"))</f>
        <v/>
      </c>
      <c r="H404" s="19" t="str">
        <f aca="false">IF($A404="","",IFERROR(INDEX(Denetimler!$C:$C,MATCH($A404,Denetimler!$A:$A,0)),"No yok"))</f>
        <v/>
      </c>
      <c r="I404" s="19" t="str">
        <f aca="false">IF($A404="","",IFERROR(INDEX(Denetimler!$D:$D,MATCH($A404,Denetimler!$A:$A,0)),"No yok"))</f>
        <v/>
      </c>
      <c r="J404" s="19" t="str">
        <f aca="false">IF($A404="","",IFERROR(INDEX(Denetimler!$E:$E,MATCH($A404,Denetimler!$A:$A,0)),"No yok"))</f>
        <v/>
      </c>
      <c r="K404" s="25" t="str">
        <f aca="false">IF($A404="","",IFERROR(INDEX(Denetimler!$B:$B,MATCH($A404,Denetimler!$A:$A,0)),"No yok"))</f>
        <v/>
      </c>
    </row>
    <row r="405" customFormat="false" ht="15" hidden="false" customHeight="false" outlineLevel="0" collapsed="false">
      <c r="D405" s="19" t="str">
        <f aca="false">IF($B405="","",IFERROR(INDEX(Madde_Listesi!$C:$C,MATCH($B405,Madde_Listesi!$B:$B,0)),"Kod yok"))</f>
        <v/>
      </c>
      <c r="E405" s="19" t="str">
        <f aca="false">IF($B405="","",IFERROR(INDEX(Madde_Listesi!$D:$D,MATCH($B405,Madde_Listesi!$B:$B,0)),"Kod yok"))</f>
        <v/>
      </c>
      <c r="F405" s="19" t="str">
        <f aca="false">IF($B405="","",IFERROR(INDEX(Madde_Listesi!$E:$E,MATCH($B405,Madde_Listesi!$B:$B,0)),"Kod yok"))</f>
        <v/>
      </c>
      <c r="G405" s="19" t="str">
        <f aca="false">IF($B405="","",IFERROR(INDEX(Madde_Listesi!$F:$F,MATCH($B405,Madde_Listesi!$B:$B,0)),"Kod yok"))</f>
        <v/>
      </c>
      <c r="H405" s="19" t="str">
        <f aca="false">IF($A405="","",IFERROR(INDEX(Denetimler!$C:$C,MATCH($A405,Denetimler!$A:$A,0)),"No yok"))</f>
        <v/>
      </c>
      <c r="I405" s="19" t="str">
        <f aca="false">IF($A405="","",IFERROR(INDEX(Denetimler!$D:$D,MATCH($A405,Denetimler!$A:$A,0)),"No yok"))</f>
        <v/>
      </c>
      <c r="J405" s="19" t="str">
        <f aca="false">IF($A405="","",IFERROR(INDEX(Denetimler!$E:$E,MATCH($A405,Denetimler!$A:$A,0)),"No yok"))</f>
        <v/>
      </c>
      <c r="K405" s="25" t="str">
        <f aca="false">IF($A405="","",IFERROR(INDEX(Denetimler!$B:$B,MATCH($A405,Denetimler!$A:$A,0)),"No yok"))</f>
        <v/>
      </c>
    </row>
    <row r="406" customFormat="false" ht="15" hidden="false" customHeight="false" outlineLevel="0" collapsed="false">
      <c r="D406" s="19" t="str">
        <f aca="false">IF($B406="","",IFERROR(INDEX(Madde_Listesi!$C:$C,MATCH($B406,Madde_Listesi!$B:$B,0)),"Kod yok"))</f>
        <v/>
      </c>
      <c r="E406" s="19" t="str">
        <f aca="false">IF($B406="","",IFERROR(INDEX(Madde_Listesi!$D:$D,MATCH($B406,Madde_Listesi!$B:$B,0)),"Kod yok"))</f>
        <v/>
      </c>
      <c r="F406" s="19" t="str">
        <f aca="false">IF($B406="","",IFERROR(INDEX(Madde_Listesi!$E:$E,MATCH($B406,Madde_Listesi!$B:$B,0)),"Kod yok"))</f>
        <v/>
      </c>
      <c r="G406" s="19" t="str">
        <f aca="false">IF($B406="","",IFERROR(INDEX(Madde_Listesi!$F:$F,MATCH($B406,Madde_Listesi!$B:$B,0)),"Kod yok"))</f>
        <v/>
      </c>
      <c r="H406" s="19" t="str">
        <f aca="false">IF($A406="","",IFERROR(INDEX(Denetimler!$C:$C,MATCH($A406,Denetimler!$A:$A,0)),"No yok"))</f>
        <v/>
      </c>
      <c r="I406" s="19" t="str">
        <f aca="false">IF($A406="","",IFERROR(INDEX(Denetimler!$D:$D,MATCH($A406,Denetimler!$A:$A,0)),"No yok"))</f>
        <v/>
      </c>
      <c r="J406" s="19" t="str">
        <f aca="false">IF($A406="","",IFERROR(INDEX(Denetimler!$E:$E,MATCH($A406,Denetimler!$A:$A,0)),"No yok"))</f>
        <v/>
      </c>
      <c r="K406" s="25" t="str">
        <f aca="false">IF($A406="","",IFERROR(INDEX(Denetimler!$B:$B,MATCH($A406,Denetimler!$A:$A,0)),"No yok"))</f>
        <v/>
      </c>
    </row>
    <row r="407" customFormat="false" ht="15" hidden="false" customHeight="false" outlineLevel="0" collapsed="false">
      <c r="D407" s="19" t="str">
        <f aca="false">IF($B407="","",IFERROR(INDEX(Madde_Listesi!$C:$C,MATCH($B407,Madde_Listesi!$B:$B,0)),"Kod yok"))</f>
        <v/>
      </c>
      <c r="E407" s="19" t="str">
        <f aca="false">IF($B407="","",IFERROR(INDEX(Madde_Listesi!$D:$D,MATCH($B407,Madde_Listesi!$B:$B,0)),"Kod yok"))</f>
        <v/>
      </c>
      <c r="F407" s="19" t="str">
        <f aca="false">IF($B407="","",IFERROR(INDEX(Madde_Listesi!$E:$E,MATCH($B407,Madde_Listesi!$B:$B,0)),"Kod yok"))</f>
        <v/>
      </c>
      <c r="G407" s="19" t="str">
        <f aca="false">IF($B407="","",IFERROR(INDEX(Madde_Listesi!$F:$F,MATCH($B407,Madde_Listesi!$B:$B,0)),"Kod yok"))</f>
        <v/>
      </c>
      <c r="H407" s="19" t="str">
        <f aca="false">IF($A407="","",IFERROR(INDEX(Denetimler!$C:$C,MATCH($A407,Denetimler!$A:$A,0)),"No yok"))</f>
        <v/>
      </c>
      <c r="I407" s="19" t="str">
        <f aca="false">IF($A407="","",IFERROR(INDEX(Denetimler!$D:$D,MATCH($A407,Denetimler!$A:$A,0)),"No yok"))</f>
        <v/>
      </c>
      <c r="J407" s="19" t="str">
        <f aca="false">IF($A407="","",IFERROR(INDEX(Denetimler!$E:$E,MATCH($A407,Denetimler!$A:$A,0)),"No yok"))</f>
        <v/>
      </c>
      <c r="K407" s="25" t="str">
        <f aca="false">IF($A407="","",IFERROR(INDEX(Denetimler!$B:$B,MATCH($A407,Denetimler!$A:$A,0)),"No yok"))</f>
        <v/>
      </c>
    </row>
    <row r="408" customFormat="false" ht="15" hidden="false" customHeight="false" outlineLevel="0" collapsed="false">
      <c r="D408" s="19" t="str">
        <f aca="false">IF($B408="","",IFERROR(INDEX(Madde_Listesi!$C:$C,MATCH($B408,Madde_Listesi!$B:$B,0)),"Kod yok"))</f>
        <v/>
      </c>
      <c r="E408" s="19" t="str">
        <f aca="false">IF($B408="","",IFERROR(INDEX(Madde_Listesi!$D:$D,MATCH($B408,Madde_Listesi!$B:$B,0)),"Kod yok"))</f>
        <v/>
      </c>
      <c r="F408" s="19" t="str">
        <f aca="false">IF($B408="","",IFERROR(INDEX(Madde_Listesi!$E:$E,MATCH($B408,Madde_Listesi!$B:$B,0)),"Kod yok"))</f>
        <v/>
      </c>
      <c r="G408" s="19" t="str">
        <f aca="false">IF($B408="","",IFERROR(INDEX(Madde_Listesi!$F:$F,MATCH($B408,Madde_Listesi!$B:$B,0)),"Kod yok"))</f>
        <v/>
      </c>
      <c r="H408" s="19" t="str">
        <f aca="false">IF($A408="","",IFERROR(INDEX(Denetimler!$C:$C,MATCH($A408,Denetimler!$A:$A,0)),"No yok"))</f>
        <v/>
      </c>
      <c r="I408" s="19" t="str">
        <f aca="false">IF($A408="","",IFERROR(INDEX(Denetimler!$D:$D,MATCH($A408,Denetimler!$A:$A,0)),"No yok"))</f>
        <v/>
      </c>
      <c r="J408" s="19" t="str">
        <f aca="false">IF($A408="","",IFERROR(INDEX(Denetimler!$E:$E,MATCH($A408,Denetimler!$A:$A,0)),"No yok"))</f>
        <v/>
      </c>
      <c r="K408" s="25" t="str">
        <f aca="false">IF($A408="","",IFERROR(INDEX(Denetimler!$B:$B,MATCH($A408,Denetimler!$A:$A,0)),"No yok"))</f>
        <v/>
      </c>
    </row>
    <row r="409" customFormat="false" ht="15" hidden="false" customHeight="false" outlineLevel="0" collapsed="false">
      <c r="D409" s="19" t="str">
        <f aca="false">IF($B409="","",IFERROR(INDEX(Madde_Listesi!$C:$C,MATCH($B409,Madde_Listesi!$B:$B,0)),"Kod yok"))</f>
        <v/>
      </c>
      <c r="E409" s="19" t="str">
        <f aca="false">IF($B409="","",IFERROR(INDEX(Madde_Listesi!$D:$D,MATCH($B409,Madde_Listesi!$B:$B,0)),"Kod yok"))</f>
        <v/>
      </c>
      <c r="F409" s="19" t="str">
        <f aca="false">IF($B409="","",IFERROR(INDEX(Madde_Listesi!$E:$E,MATCH($B409,Madde_Listesi!$B:$B,0)),"Kod yok"))</f>
        <v/>
      </c>
      <c r="G409" s="19" t="str">
        <f aca="false">IF($B409="","",IFERROR(INDEX(Madde_Listesi!$F:$F,MATCH($B409,Madde_Listesi!$B:$B,0)),"Kod yok"))</f>
        <v/>
      </c>
      <c r="H409" s="19" t="str">
        <f aca="false">IF($A409="","",IFERROR(INDEX(Denetimler!$C:$C,MATCH($A409,Denetimler!$A:$A,0)),"No yok"))</f>
        <v/>
      </c>
      <c r="I409" s="19" t="str">
        <f aca="false">IF($A409="","",IFERROR(INDEX(Denetimler!$D:$D,MATCH($A409,Denetimler!$A:$A,0)),"No yok"))</f>
        <v/>
      </c>
      <c r="J409" s="19" t="str">
        <f aca="false">IF($A409="","",IFERROR(INDEX(Denetimler!$E:$E,MATCH($A409,Denetimler!$A:$A,0)),"No yok"))</f>
        <v/>
      </c>
      <c r="K409" s="25" t="str">
        <f aca="false">IF($A409="","",IFERROR(INDEX(Denetimler!$B:$B,MATCH($A409,Denetimler!$A:$A,0)),"No yok"))</f>
        <v/>
      </c>
    </row>
    <row r="410" customFormat="false" ht="15" hidden="false" customHeight="false" outlineLevel="0" collapsed="false">
      <c r="D410" s="19" t="str">
        <f aca="false">IF($B410="","",IFERROR(INDEX(Madde_Listesi!$C:$C,MATCH($B410,Madde_Listesi!$B:$B,0)),"Kod yok"))</f>
        <v/>
      </c>
      <c r="E410" s="19" t="str">
        <f aca="false">IF($B410="","",IFERROR(INDEX(Madde_Listesi!$D:$D,MATCH($B410,Madde_Listesi!$B:$B,0)),"Kod yok"))</f>
        <v/>
      </c>
      <c r="F410" s="19" t="str">
        <f aca="false">IF($B410="","",IFERROR(INDEX(Madde_Listesi!$E:$E,MATCH($B410,Madde_Listesi!$B:$B,0)),"Kod yok"))</f>
        <v/>
      </c>
      <c r="G410" s="19" t="str">
        <f aca="false">IF($B410="","",IFERROR(INDEX(Madde_Listesi!$F:$F,MATCH($B410,Madde_Listesi!$B:$B,0)),"Kod yok"))</f>
        <v/>
      </c>
      <c r="H410" s="19" t="str">
        <f aca="false">IF($A410="","",IFERROR(INDEX(Denetimler!$C:$C,MATCH($A410,Denetimler!$A:$A,0)),"No yok"))</f>
        <v/>
      </c>
      <c r="I410" s="19" t="str">
        <f aca="false">IF($A410="","",IFERROR(INDEX(Denetimler!$D:$D,MATCH($A410,Denetimler!$A:$A,0)),"No yok"))</f>
        <v/>
      </c>
      <c r="J410" s="19" t="str">
        <f aca="false">IF($A410="","",IFERROR(INDEX(Denetimler!$E:$E,MATCH($A410,Denetimler!$A:$A,0)),"No yok"))</f>
        <v/>
      </c>
      <c r="K410" s="25" t="str">
        <f aca="false">IF($A410="","",IFERROR(INDEX(Denetimler!$B:$B,MATCH($A410,Denetimler!$A:$A,0)),"No yok"))</f>
        <v/>
      </c>
    </row>
    <row r="411" customFormat="false" ht="15" hidden="false" customHeight="false" outlineLevel="0" collapsed="false">
      <c r="D411" s="19" t="str">
        <f aca="false">IF($B411="","",IFERROR(INDEX(Madde_Listesi!$C:$C,MATCH($B411,Madde_Listesi!$B:$B,0)),"Kod yok"))</f>
        <v/>
      </c>
      <c r="E411" s="19" t="str">
        <f aca="false">IF($B411="","",IFERROR(INDEX(Madde_Listesi!$D:$D,MATCH($B411,Madde_Listesi!$B:$B,0)),"Kod yok"))</f>
        <v/>
      </c>
      <c r="F411" s="19" t="str">
        <f aca="false">IF($B411="","",IFERROR(INDEX(Madde_Listesi!$E:$E,MATCH($B411,Madde_Listesi!$B:$B,0)),"Kod yok"))</f>
        <v/>
      </c>
      <c r="G411" s="19" t="str">
        <f aca="false">IF($B411="","",IFERROR(INDEX(Madde_Listesi!$F:$F,MATCH($B411,Madde_Listesi!$B:$B,0)),"Kod yok"))</f>
        <v/>
      </c>
      <c r="H411" s="19" t="str">
        <f aca="false">IF($A411="","",IFERROR(INDEX(Denetimler!$C:$C,MATCH($A411,Denetimler!$A:$A,0)),"No yok"))</f>
        <v/>
      </c>
      <c r="I411" s="19" t="str">
        <f aca="false">IF($A411="","",IFERROR(INDEX(Denetimler!$D:$D,MATCH($A411,Denetimler!$A:$A,0)),"No yok"))</f>
        <v/>
      </c>
      <c r="J411" s="19" t="str">
        <f aca="false">IF($A411="","",IFERROR(INDEX(Denetimler!$E:$E,MATCH($A411,Denetimler!$A:$A,0)),"No yok"))</f>
        <v/>
      </c>
      <c r="K411" s="25" t="str">
        <f aca="false">IF($A411="","",IFERROR(INDEX(Denetimler!$B:$B,MATCH($A411,Denetimler!$A:$A,0)),"No yok"))</f>
        <v/>
      </c>
    </row>
    <row r="412" customFormat="false" ht="15" hidden="false" customHeight="false" outlineLevel="0" collapsed="false">
      <c r="D412" s="19" t="str">
        <f aca="false">IF($B412="","",IFERROR(INDEX(Madde_Listesi!$C:$C,MATCH($B412,Madde_Listesi!$B:$B,0)),"Kod yok"))</f>
        <v/>
      </c>
      <c r="E412" s="19" t="str">
        <f aca="false">IF($B412="","",IFERROR(INDEX(Madde_Listesi!$D:$D,MATCH($B412,Madde_Listesi!$B:$B,0)),"Kod yok"))</f>
        <v/>
      </c>
      <c r="F412" s="19" t="str">
        <f aca="false">IF($B412="","",IFERROR(INDEX(Madde_Listesi!$E:$E,MATCH($B412,Madde_Listesi!$B:$B,0)),"Kod yok"))</f>
        <v/>
      </c>
      <c r="G412" s="19" t="str">
        <f aca="false">IF($B412="","",IFERROR(INDEX(Madde_Listesi!$F:$F,MATCH($B412,Madde_Listesi!$B:$B,0)),"Kod yok"))</f>
        <v/>
      </c>
      <c r="H412" s="19" t="str">
        <f aca="false">IF($A412="","",IFERROR(INDEX(Denetimler!$C:$C,MATCH($A412,Denetimler!$A:$A,0)),"No yok"))</f>
        <v/>
      </c>
      <c r="I412" s="19" t="str">
        <f aca="false">IF($A412="","",IFERROR(INDEX(Denetimler!$D:$D,MATCH($A412,Denetimler!$A:$A,0)),"No yok"))</f>
        <v/>
      </c>
      <c r="J412" s="19" t="str">
        <f aca="false">IF($A412="","",IFERROR(INDEX(Denetimler!$E:$E,MATCH($A412,Denetimler!$A:$A,0)),"No yok"))</f>
        <v/>
      </c>
      <c r="K412" s="25" t="str">
        <f aca="false">IF($A412="","",IFERROR(INDEX(Denetimler!$B:$B,MATCH($A412,Denetimler!$A:$A,0)),"No yok"))</f>
        <v/>
      </c>
    </row>
    <row r="413" customFormat="false" ht="15" hidden="false" customHeight="false" outlineLevel="0" collapsed="false">
      <c r="D413" s="19" t="str">
        <f aca="false">IF($B413="","",IFERROR(INDEX(Madde_Listesi!$C:$C,MATCH($B413,Madde_Listesi!$B:$B,0)),"Kod yok"))</f>
        <v/>
      </c>
      <c r="E413" s="19" t="str">
        <f aca="false">IF($B413="","",IFERROR(INDEX(Madde_Listesi!$D:$D,MATCH($B413,Madde_Listesi!$B:$B,0)),"Kod yok"))</f>
        <v/>
      </c>
      <c r="F413" s="19" t="str">
        <f aca="false">IF($B413="","",IFERROR(INDEX(Madde_Listesi!$E:$E,MATCH($B413,Madde_Listesi!$B:$B,0)),"Kod yok"))</f>
        <v/>
      </c>
      <c r="G413" s="19" t="str">
        <f aca="false">IF($B413="","",IFERROR(INDEX(Madde_Listesi!$F:$F,MATCH($B413,Madde_Listesi!$B:$B,0)),"Kod yok"))</f>
        <v/>
      </c>
      <c r="H413" s="19" t="str">
        <f aca="false">IF($A413="","",IFERROR(INDEX(Denetimler!$C:$C,MATCH($A413,Denetimler!$A:$A,0)),"No yok"))</f>
        <v/>
      </c>
      <c r="I413" s="19" t="str">
        <f aca="false">IF($A413="","",IFERROR(INDEX(Denetimler!$D:$D,MATCH($A413,Denetimler!$A:$A,0)),"No yok"))</f>
        <v/>
      </c>
      <c r="J413" s="19" t="str">
        <f aca="false">IF($A413="","",IFERROR(INDEX(Denetimler!$E:$E,MATCH($A413,Denetimler!$A:$A,0)),"No yok"))</f>
        <v/>
      </c>
      <c r="K413" s="25" t="str">
        <f aca="false">IF($A413="","",IFERROR(INDEX(Denetimler!$B:$B,MATCH($A413,Denetimler!$A:$A,0)),"No yok"))</f>
        <v/>
      </c>
    </row>
    <row r="414" customFormat="false" ht="15" hidden="false" customHeight="false" outlineLevel="0" collapsed="false">
      <c r="D414" s="19" t="str">
        <f aca="false">IF($B414="","",IFERROR(INDEX(Madde_Listesi!$C:$C,MATCH($B414,Madde_Listesi!$B:$B,0)),"Kod yok"))</f>
        <v/>
      </c>
      <c r="E414" s="19" t="str">
        <f aca="false">IF($B414="","",IFERROR(INDEX(Madde_Listesi!$D:$D,MATCH($B414,Madde_Listesi!$B:$B,0)),"Kod yok"))</f>
        <v/>
      </c>
      <c r="F414" s="19" t="str">
        <f aca="false">IF($B414="","",IFERROR(INDEX(Madde_Listesi!$E:$E,MATCH($B414,Madde_Listesi!$B:$B,0)),"Kod yok"))</f>
        <v/>
      </c>
      <c r="G414" s="19" t="str">
        <f aca="false">IF($B414="","",IFERROR(INDEX(Madde_Listesi!$F:$F,MATCH($B414,Madde_Listesi!$B:$B,0)),"Kod yok"))</f>
        <v/>
      </c>
      <c r="H414" s="19" t="str">
        <f aca="false">IF($A414="","",IFERROR(INDEX(Denetimler!$C:$C,MATCH($A414,Denetimler!$A:$A,0)),"No yok"))</f>
        <v/>
      </c>
      <c r="I414" s="19" t="str">
        <f aca="false">IF($A414="","",IFERROR(INDEX(Denetimler!$D:$D,MATCH($A414,Denetimler!$A:$A,0)),"No yok"))</f>
        <v/>
      </c>
      <c r="J414" s="19" t="str">
        <f aca="false">IF($A414="","",IFERROR(INDEX(Denetimler!$E:$E,MATCH($A414,Denetimler!$A:$A,0)),"No yok"))</f>
        <v/>
      </c>
      <c r="K414" s="25" t="str">
        <f aca="false">IF($A414="","",IFERROR(INDEX(Denetimler!$B:$B,MATCH($A414,Denetimler!$A:$A,0)),"No yok"))</f>
        <v/>
      </c>
    </row>
    <row r="415" customFormat="false" ht="15" hidden="false" customHeight="false" outlineLevel="0" collapsed="false">
      <c r="D415" s="19" t="str">
        <f aca="false">IF($B415="","",IFERROR(INDEX(Madde_Listesi!$C:$C,MATCH($B415,Madde_Listesi!$B:$B,0)),"Kod yok"))</f>
        <v/>
      </c>
      <c r="E415" s="19" t="str">
        <f aca="false">IF($B415="","",IFERROR(INDEX(Madde_Listesi!$D:$D,MATCH($B415,Madde_Listesi!$B:$B,0)),"Kod yok"))</f>
        <v/>
      </c>
      <c r="F415" s="19" t="str">
        <f aca="false">IF($B415="","",IFERROR(INDEX(Madde_Listesi!$E:$E,MATCH($B415,Madde_Listesi!$B:$B,0)),"Kod yok"))</f>
        <v/>
      </c>
      <c r="G415" s="19" t="str">
        <f aca="false">IF($B415="","",IFERROR(INDEX(Madde_Listesi!$F:$F,MATCH($B415,Madde_Listesi!$B:$B,0)),"Kod yok"))</f>
        <v/>
      </c>
      <c r="H415" s="19" t="str">
        <f aca="false">IF($A415="","",IFERROR(INDEX(Denetimler!$C:$C,MATCH($A415,Denetimler!$A:$A,0)),"No yok"))</f>
        <v/>
      </c>
      <c r="I415" s="19" t="str">
        <f aca="false">IF($A415="","",IFERROR(INDEX(Denetimler!$D:$D,MATCH($A415,Denetimler!$A:$A,0)),"No yok"))</f>
        <v/>
      </c>
      <c r="J415" s="19" t="str">
        <f aca="false">IF($A415="","",IFERROR(INDEX(Denetimler!$E:$E,MATCH($A415,Denetimler!$A:$A,0)),"No yok"))</f>
        <v/>
      </c>
      <c r="K415" s="25" t="str">
        <f aca="false">IF($A415="","",IFERROR(INDEX(Denetimler!$B:$B,MATCH($A415,Denetimler!$A:$A,0)),"No yok"))</f>
        <v/>
      </c>
    </row>
    <row r="416" customFormat="false" ht="15" hidden="false" customHeight="false" outlineLevel="0" collapsed="false">
      <c r="D416" s="19" t="str">
        <f aca="false">IF($B416="","",IFERROR(INDEX(Madde_Listesi!$C:$C,MATCH($B416,Madde_Listesi!$B:$B,0)),"Kod yok"))</f>
        <v/>
      </c>
      <c r="E416" s="19" t="str">
        <f aca="false">IF($B416="","",IFERROR(INDEX(Madde_Listesi!$D:$D,MATCH($B416,Madde_Listesi!$B:$B,0)),"Kod yok"))</f>
        <v/>
      </c>
      <c r="F416" s="19" t="str">
        <f aca="false">IF($B416="","",IFERROR(INDEX(Madde_Listesi!$E:$E,MATCH($B416,Madde_Listesi!$B:$B,0)),"Kod yok"))</f>
        <v/>
      </c>
      <c r="G416" s="19" t="str">
        <f aca="false">IF($B416="","",IFERROR(INDEX(Madde_Listesi!$F:$F,MATCH($B416,Madde_Listesi!$B:$B,0)),"Kod yok"))</f>
        <v/>
      </c>
      <c r="H416" s="19" t="str">
        <f aca="false">IF($A416="","",IFERROR(INDEX(Denetimler!$C:$C,MATCH($A416,Denetimler!$A:$A,0)),"No yok"))</f>
        <v/>
      </c>
      <c r="I416" s="19" t="str">
        <f aca="false">IF($A416="","",IFERROR(INDEX(Denetimler!$D:$D,MATCH($A416,Denetimler!$A:$A,0)),"No yok"))</f>
        <v/>
      </c>
      <c r="J416" s="19" t="str">
        <f aca="false">IF($A416="","",IFERROR(INDEX(Denetimler!$E:$E,MATCH($A416,Denetimler!$A:$A,0)),"No yok"))</f>
        <v/>
      </c>
      <c r="K416" s="25" t="str">
        <f aca="false">IF($A416="","",IFERROR(INDEX(Denetimler!$B:$B,MATCH($A416,Denetimler!$A:$A,0)),"No yok"))</f>
        <v/>
      </c>
    </row>
    <row r="417" customFormat="false" ht="15" hidden="false" customHeight="false" outlineLevel="0" collapsed="false">
      <c r="D417" s="19" t="str">
        <f aca="false">IF($B417="","",IFERROR(INDEX(Madde_Listesi!$C:$C,MATCH($B417,Madde_Listesi!$B:$B,0)),"Kod yok"))</f>
        <v/>
      </c>
      <c r="E417" s="19" t="str">
        <f aca="false">IF($B417="","",IFERROR(INDEX(Madde_Listesi!$D:$D,MATCH($B417,Madde_Listesi!$B:$B,0)),"Kod yok"))</f>
        <v/>
      </c>
      <c r="F417" s="19" t="str">
        <f aca="false">IF($B417="","",IFERROR(INDEX(Madde_Listesi!$E:$E,MATCH($B417,Madde_Listesi!$B:$B,0)),"Kod yok"))</f>
        <v/>
      </c>
      <c r="G417" s="19" t="str">
        <f aca="false">IF($B417="","",IFERROR(INDEX(Madde_Listesi!$F:$F,MATCH($B417,Madde_Listesi!$B:$B,0)),"Kod yok"))</f>
        <v/>
      </c>
      <c r="H417" s="19" t="str">
        <f aca="false">IF($A417="","",IFERROR(INDEX(Denetimler!$C:$C,MATCH($A417,Denetimler!$A:$A,0)),"No yok"))</f>
        <v/>
      </c>
      <c r="I417" s="19" t="str">
        <f aca="false">IF($A417="","",IFERROR(INDEX(Denetimler!$D:$D,MATCH($A417,Denetimler!$A:$A,0)),"No yok"))</f>
        <v/>
      </c>
      <c r="J417" s="19" t="str">
        <f aca="false">IF($A417="","",IFERROR(INDEX(Denetimler!$E:$E,MATCH($A417,Denetimler!$A:$A,0)),"No yok"))</f>
        <v/>
      </c>
      <c r="K417" s="25" t="str">
        <f aca="false">IF($A417="","",IFERROR(INDEX(Denetimler!$B:$B,MATCH($A417,Denetimler!$A:$A,0)),"No yok"))</f>
        <v/>
      </c>
    </row>
    <row r="418" customFormat="false" ht="15" hidden="false" customHeight="false" outlineLevel="0" collapsed="false">
      <c r="D418" s="19" t="str">
        <f aca="false">IF($B418="","",IFERROR(INDEX(Madde_Listesi!$C:$C,MATCH($B418,Madde_Listesi!$B:$B,0)),"Kod yok"))</f>
        <v/>
      </c>
      <c r="E418" s="19" t="str">
        <f aca="false">IF($B418="","",IFERROR(INDEX(Madde_Listesi!$D:$D,MATCH($B418,Madde_Listesi!$B:$B,0)),"Kod yok"))</f>
        <v/>
      </c>
      <c r="F418" s="19" t="str">
        <f aca="false">IF($B418="","",IFERROR(INDEX(Madde_Listesi!$E:$E,MATCH($B418,Madde_Listesi!$B:$B,0)),"Kod yok"))</f>
        <v/>
      </c>
      <c r="G418" s="19" t="str">
        <f aca="false">IF($B418="","",IFERROR(INDEX(Madde_Listesi!$F:$F,MATCH($B418,Madde_Listesi!$B:$B,0)),"Kod yok"))</f>
        <v/>
      </c>
      <c r="H418" s="19" t="str">
        <f aca="false">IF($A418="","",IFERROR(INDEX(Denetimler!$C:$C,MATCH($A418,Denetimler!$A:$A,0)),"No yok"))</f>
        <v/>
      </c>
      <c r="I418" s="19" t="str">
        <f aca="false">IF($A418="","",IFERROR(INDEX(Denetimler!$D:$D,MATCH($A418,Denetimler!$A:$A,0)),"No yok"))</f>
        <v/>
      </c>
      <c r="J418" s="19" t="str">
        <f aca="false">IF($A418="","",IFERROR(INDEX(Denetimler!$E:$E,MATCH($A418,Denetimler!$A:$A,0)),"No yok"))</f>
        <v/>
      </c>
      <c r="K418" s="25" t="str">
        <f aca="false">IF($A418="","",IFERROR(INDEX(Denetimler!$B:$B,MATCH($A418,Denetimler!$A:$A,0)),"No yok"))</f>
        <v/>
      </c>
    </row>
    <row r="419" customFormat="false" ht="15" hidden="false" customHeight="false" outlineLevel="0" collapsed="false">
      <c r="D419" s="19" t="str">
        <f aca="false">IF($B419="","",IFERROR(INDEX(Madde_Listesi!$C:$C,MATCH($B419,Madde_Listesi!$B:$B,0)),"Kod yok"))</f>
        <v/>
      </c>
      <c r="E419" s="19" t="str">
        <f aca="false">IF($B419="","",IFERROR(INDEX(Madde_Listesi!$D:$D,MATCH($B419,Madde_Listesi!$B:$B,0)),"Kod yok"))</f>
        <v/>
      </c>
      <c r="F419" s="19" t="str">
        <f aca="false">IF($B419="","",IFERROR(INDEX(Madde_Listesi!$E:$E,MATCH($B419,Madde_Listesi!$B:$B,0)),"Kod yok"))</f>
        <v/>
      </c>
      <c r="G419" s="19" t="str">
        <f aca="false">IF($B419="","",IFERROR(INDEX(Madde_Listesi!$F:$F,MATCH($B419,Madde_Listesi!$B:$B,0)),"Kod yok"))</f>
        <v/>
      </c>
      <c r="H419" s="19" t="str">
        <f aca="false">IF($A419="","",IFERROR(INDEX(Denetimler!$C:$C,MATCH($A419,Denetimler!$A:$A,0)),"No yok"))</f>
        <v/>
      </c>
      <c r="I419" s="19" t="str">
        <f aca="false">IF($A419="","",IFERROR(INDEX(Denetimler!$D:$D,MATCH($A419,Denetimler!$A:$A,0)),"No yok"))</f>
        <v/>
      </c>
      <c r="J419" s="19" t="str">
        <f aca="false">IF($A419="","",IFERROR(INDEX(Denetimler!$E:$E,MATCH($A419,Denetimler!$A:$A,0)),"No yok"))</f>
        <v/>
      </c>
      <c r="K419" s="25" t="str">
        <f aca="false">IF($A419="","",IFERROR(INDEX(Denetimler!$B:$B,MATCH($A419,Denetimler!$A:$A,0)),"No yok"))</f>
        <v/>
      </c>
    </row>
    <row r="420" customFormat="false" ht="15" hidden="false" customHeight="false" outlineLevel="0" collapsed="false">
      <c r="D420" s="19" t="str">
        <f aca="false">IF($B420="","",IFERROR(INDEX(Madde_Listesi!$C:$C,MATCH($B420,Madde_Listesi!$B:$B,0)),"Kod yok"))</f>
        <v/>
      </c>
      <c r="E420" s="19" t="str">
        <f aca="false">IF($B420="","",IFERROR(INDEX(Madde_Listesi!$D:$D,MATCH($B420,Madde_Listesi!$B:$B,0)),"Kod yok"))</f>
        <v/>
      </c>
      <c r="F420" s="19" t="str">
        <f aca="false">IF($B420="","",IFERROR(INDEX(Madde_Listesi!$E:$E,MATCH($B420,Madde_Listesi!$B:$B,0)),"Kod yok"))</f>
        <v/>
      </c>
      <c r="G420" s="19" t="str">
        <f aca="false">IF($B420="","",IFERROR(INDEX(Madde_Listesi!$F:$F,MATCH($B420,Madde_Listesi!$B:$B,0)),"Kod yok"))</f>
        <v/>
      </c>
      <c r="H420" s="19" t="str">
        <f aca="false">IF($A420="","",IFERROR(INDEX(Denetimler!$C:$C,MATCH($A420,Denetimler!$A:$A,0)),"No yok"))</f>
        <v/>
      </c>
      <c r="I420" s="19" t="str">
        <f aca="false">IF($A420="","",IFERROR(INDEX(Denetimler!$D:$D,MATCH($A420,Denetimler!$A:$A,0)),"No yok"))</f>
        <v/>
      </c>
      <c r="J420" s="19" t="str">
        <f aca="false">IF($A420="","",IFERROR(INDEX(Denetimler!$E:$E,MATCH($A420,Denetimler!$A:$A,0)),"No yok"))</f>
        <v/>
      </c>
      <c r="K420" s="25" t="str">
        <f aca="false">IF($A420="","",IFERROR(INDEX(Denetimler!$B:$B,MATCH($A420,Denetimler!$A:$A,0)),"No yok"))</f>
        <v/>
      </c>
    </row>
    <row r="421" customFormat="false" ht="15" hidden="false" customHeight="false" outlineLevel="0" collapsed="false">
      <c r="D421" s="19" t="str">
        <f aca="false">IF($B421="","",IFERROR(INDEX(Madde_Listesi!$C:$C,MATCH($B421,Madde_Listesi!$B:$B,0)),"Kod yok"))</f>
        <v/>
      </c>
      <c r="E421" s="19" t="str">
        <f aca="false">IF($B421="","",IFERROR(INDEX(Madde_Listesi!$D:$D,MATCH($B421,Madde_Listesi!$B:$B,0)),"Kod yok"))</f>
        <v/>
      </c>
      <c r="F421" s="19" t="str">
        <f aca="false">IF($B421="","",IFERROR(INDEX(Madde_Listesi!$E:$E,MATCH($B421,Madde_Listesi!$B:$B,0)),"Kod yok"))</f>
        <v/>
      </c>
      <c r="G421" s="19" t="str">
        <f aca="false">IF($B421="","",IFERROR(INDEX(Madde_Listesi!$F:$F,MATCH($B421,Madde_Listesi!$B:$B,0)),"Kod yok"))</f>
        <v/>
      </c>
      <c r="H421" s="19" t="str">
        <f aca="false">IF($A421="","",IFERROR(INDEX(Denetimler!$C:$C,MATCH($A421,Denetimler!$A:$A,0)),"No yok"))</f>
        <v/>
      </c>
      <c r="I421" s="19" t="str">
        <f aca="false">IF($A421="","",IFERROR(INDEX(Denetimler!$D:$D,MATCH($A421,Denetimler!$A:$A,0)),"No yok"))</f>
        <v/>
      </c>
      <c r="J421" s="19" t="str">
        <f aca="false">IF($A421="","",IFERROR(INDEX(Denetimler!$E:$E,MATCH($A421,Denetimler!$A:$A,0)),"No yok"))</f>
        <v/>
      </c>
      <c r="K421" s="25" t="str">
        <f aca="false">IF($A421="","",IFERROR(INDEX(Denetimler!$B:$B,MATCH($A421,Denetimler!$A:$A,0)),"No yok"))</f>
        <v/>
      </c>
    </row>
    <row r="422" customFormat="false" ht="15" hidden="false" customHeight="false" outlineLevel="0" collapsed="false">
      <c r="D422" s="19" t="str">
        <f aca="false">IF($B422="","",IFERROR(INDEX(Madde_Listesi!$C:$C,MATCH($B422,Madde_Listesi!$B:$B,0)),"Kod yok"))</f>
        <v/>
      </c>
      <c r="E422" s="19" t="str">
        <f aca="false">IF($B422="","",IFERROR(INDEX(Madde_Listesi!$D:$D,MATCH($B422,Madde_Listesi!$B:$B,0)),"Kod yok"))</f>
        <v/>
      </c>
      <c r="F422" s="19" t="str">
        <f aca="false">IF($B422="","",IFERROR(INDEX(Madde_Listesi!$E:$E,MATCH($B422,Madde_Listesi!$B:$B,0)),"Kod yok"))</f>
        <v/>
      </c>
      <c r="G422" s="19" t="str">
        <f aca="false">IF($B422="","",IFERROR(INDEX(Madde_Listesi!$F:$F,MATCH($B422,Madde_Listesi!$B:$B,0)),"Kod yok"))</f>
        <v/>
      </c>
      <c r="H422" s="19" t="str">
        <f aca="false">IF($A422="","",IFERROR(INDEX(Denetimler!$C:$C,MATCH($A422,Denetimler!$A:$A,0)),"No yok"))</f>
        <v/>
      </c>
      <c r="I422" s="19" t="str">
        <f aca="false">IF($A422="","",IFERROR(INDEX(Denetimler!$D:$D,MATCH($A422,Denetimler!$A:$A,0)),"No yok"))</f>
        <v/>
      </c>
      <c r="J422" s="19" t="str">
        <f aca="false">IF($A422="","",IFERROR(INDEX(Denetimler!$E:$E,MATCH($A422,Denetimler!$A:$A,0)),"No yok"))</f>
        <v/>
      </c>
      <c r="K422" s="25" t="str">
        <f aca="false">IF($A422="","",IFERROR(INDEX(Denetimler!$B:$B,MATCH($A422,Denetimler!$A:$A,0)),"No yok"))</f>
        <v/>
      </c>
    </row>
    <row r="423" customFormat="false" ht="15" hidden="false" customHeight="false" outlineLevel="0" collapsed="false">
      <c r="D423" s="19" t="str">
        <f aca="false">IF($B423="","",IFERROR(INDEX(Madde_Listesi!$C:$C,MATCH($B423,Madde_Listesi!$B:$B,0)),"Kod yok"))</f>
        <v/>
      </c>
      <c r="E423" s="19" t="str">
        <f aca="false">IF($B423="","",IFERROR(INDEX(Madde_Listesi!$D:$D,MATCH($B423,Madde_Listesi!$B:$B,0)),"Kod yok"))</f>
        <v/>
      </c>
      <c r="F423" s="19" t="str">
        <f aca="false">IF($B423="","",IFERROR(INDEX(Madde_Listesi!$E:$E,MATCH($B423,Madde_Listesi!$B:$B,0)),"Kod yok"))</f>
        <v/>
      </c>
      <c r="G423" s="19" t="str">
        <f aca="false">IF($B423="","",IFERROR(INDEX(Madde_Listesi!$F:$F,MATCH($B423,Madde_Listesi!$B:$B,0)),"Kod yok"))</f>
        <v/>
      </c>
      <c r="H423" s="19" t="str">
        <f aca="false">IF($A423="","",IFERROR(INDEX(Denetimler!$C:$C,MATCH($A423,Denetimler!$A:$A,0)),"No yok"))</f>
        <v/>
      </c>
      <c r="I423" s="19" t="str">
        <f aca="false">IF($A423="","",IFERROR(INDEX(Denetimler!$D:$D,MATCH($A423,Denetimler!$A:$A,0)),"No yok"))</f>
        <v/>
      </c>
      <c r="J423" s="19" t="str">
        <f aca="false">IF($A423="","",IFERROR(INDEX(Denetimler!$E:$E,MATCH($A423,Denetimler!$A:$A,0)),"No yok"))</f>
        <v/>
      </c>
      <c r="K423" s="25" t="str">
        <f aca="false">IF($A423="","",IFERROR(INDEX(Denetimler!$B:$B,MATCH($A423,Denetimler!$A:$A,0)),"No yok"))</f>
        <v/>
      </c>
    </row>
    <row r="424" customFormat="false" ht="15" hidden="false" customHeight="false" outlineLevel="0" collapsed="false">
      <c r="D424" s="19" t="str">
        <f aca="false">IF($B424="","",IFERROR(INDEX(Madde_Listesi!$C:$C,MATCH($B424,Madde_Listesi!$B:$B,0)),"Kod yok"))</f>
        <v/>
      </c>
      <c r="E424" s="19" t="str">
        <f aca="false">IF($B424="","",IFERROR(INDEX(Madde_Listesi!$D:$D,MATCH($B424,Madde_Listesi!$B:$B,0)),"Kod yok"))</f>
        <v/>
      </c>
      <c r="F424" s="19" t="str">
        <f aca="false">IF($B424="","",IFERROR(INDEX(Madde_Listesi!$E:$E,MATCH($B424,Madde_Listesi!$B:$B,0)),"Kod yok"))</f>
        <v/>
      </c>
      <c r="G424" s="19" t="str">
        <f aca="false">IF($B424="","",IFERROR(INDEX(Madde_Listesi!$F:$F,MATCH($B424,Madde_Listesi!$B:$B,0)),"Kod yok"))</f>
        <v/>
      </c>
      <c r="H424" s="19" t="str">
        <f aca="false">IF($A424="","",IFERROR(INDEX(Denetimler!$C:$C,MATCH($A424,Denetimler!$A:$A,0)),"No yok"))</f>
        <v/>
      </c>
      <c r="I424" s="19" t="str">
        <f aca="false">IF($A424="","",IFERROR(INDEX(Denetimler!$D:$D,MATCH($A424,Denetimler!$A:$A,0)),"No yok"))</f>
        <v/>
      </c>
      <c r="J424" s="19" t="str">
        <f aca="false">IF($A424="","",IFERROR(INDEX(Denetimler!$E:$E,MATCH($A424,Denetimler!$A:$A,0)),"No yok"))</f>
        <v/>
      </c>
      <c r="K424" s="25" t="str">
        <f aca="false">IF($A424="","",IFERROR(INDEX(Denetimler!$B:$B,MATCH($A424,Denetimler!$A:$A,0)),"No yok"))</f>
        <v/>
      </c>
    </row>
    <row r="425" customFormat="false" ht="15" hidden="false" customHeight="false" outlineLevel="0" collapsed="false">
      <c r="D425" s="19" t="str">
        <f aca="false">IF($B425="","",IFERROR(INDEX(Madde_Listesi!$C:$C,MATCH($B425,Madde_Listesi!$B:$B,0)),"Kod yok"))</f>
        <v/>
      </c>
      <c r="E425" s="19" t="str">
        <f aca="false">IF($B425="","",IFERROR(INDEX(Madde_Listesi!$D:$D,MATCH($B425,Madde_Listesi!$B:$B,0)),"Kod yok"))</f>
        <v/>
      </c>
      <c r="F425" s="19" t="str">
        <f aca="false">IF($B425="","",IFERROR(INDEX(Madde_Listesi!$E:$E,MATCH($B425,Madde_Listesi!$B:$B,0)),"Kod yok"))</f>
        <v/>
      </c>
      <c r="G425" s="19" t="str">
        <f aca="false">IF($B425="","",IFERROR(INDEX(Madde_Listesi!$F:$F,MATCH($B425,Madde_Listesi!$B:$B,0)),"Kod yok"))</f>
        <v/>
      </c>
      <c r="H425" s="19" t="str">
        <f aca="false">IF($A425="","",IFERROR(INDEX(Denetimler!$C:$C,MATCH($A425,Denetimler!$A:$A,0)),"No yok"))</f>
        <v/>
      </c>
      <c r="I425" s="19" t="str">
        <f aca="false">IF($A425="","",IFERROR(INDEX(Denetimler!$D:$D,MATCH($A425,Denetimler!$A:$A,0)),"No yok"))</f>
        <v/>
      </c>
      <c r="J425" s="19" t="str">
        <f aca="false">IF($A425="","",IFERROR(INDEX(Denetimler!$E:$E,MATCH($A425,Denetimler!$A:$A,0)),"No yok"))</f>
        <v/>
      </c>
      <c r="K425" s="25" t="str">
        <f aca="false">IF($A425="","",IFERROR(INDEX(Denetimler!$B:$B,MATCH($A425,Denetimler!$A:$A,0)),"No yok"))</f>
        <v/>
      </c>
    </row>
    <row r="426" customFormat="false" ht="15" hidden="false" customHeight="false" outlineLevel="0" collapsed="false">
      <c r="D426" s="19" t="str">
        <f aca="false">IF($B426="","",IFERROR(INDEX(Madde_Listesi!$C:$C,MATCH($B426,Madde_Listesi!$B:$B,0)),"Kod yok"))</f>
        <v/>
      </c>
      <c r="E426" s="19" t="str">
        <f aca="false">IF($B426="","",IFERROR(INDEX(Madde_Listesi!$D:$D,MATCH($B426,Madde_Listesi!$B:$B,0)),"Kod yok"))</f>
        <v/>
      </c>
      <c r="F426" s="19" t="str">
        <f aca="false">IF($B426="","",IFERROR(INDEX(Madde_Listesi!$E:$E,MATCH($B426,Madde_Listesi!$B:$B,0)),"Kod yok"))</f>
        <v/>
      </c>
      <c r="G426" s="19" t="str">
        <f aca="false">IF($B426="","",IFERROR(INDEX(Madde_Listesi!$F:$F,MATCH($B426,Madde_Listesi!$B:$B,0)),"Kod yok"))</f>
        <v/>
      </c>
      <c r="H426" s="19" t="str">
        <f aca="false">IF($A426="","",IFERROR(INDEX(Denetimler!$C:$C,MATCH($A426,Denetimler!$A:$A,0)),"No yok"))</f>
        <v/>
      </c>
      <c r="I426" s="19" t="str">
        <f aca="false">IF($A426="","",IFERROR(INDEX(Denetimler!$D:$D,MATCH($A426,Denetimler!$A:$A,0)),"No yok"))</f>
        <v/>
      </c>
      <c r="J426" s="19" t="str">
        <f aca="false">IF($A426="","",IFERROR(INDEX(Denetimler!$E:$E,MATCH($A426,Denetimler!$A:$A,0)),"No yok"))</f>
        <v/>
      </c>
      <c r="K426" s="25" t="str">
        <f aca="false">IF($A426="","",IFERROR(INDEX(Denetimler!$B:$B,MATCH($A426,Denetimler!$A:$A,0)),"No yok"))</f>
        <v/>
      </c>
    </row>
    <row r="427" customFormat="false" ht="15" hidden="false" customHeight="false" outlineLevel="0" collapsed="false">
      <c r="D427" s="19" t="str">
        <f aca="false">IF($B427="","",IFERROR(INDEX(Madde_Listesi!$C:$C,MATCH($B427,Madde_Listesi!$B:$B,0)),"Kod yok"))</f>
        <v/>
      </c>
      <c r="E427" s="19" t="str">
        <f aca="false">IF($B427="","",IFERROR(INDEX(Madde_Listesi!$D:$D,MATCH($B427,Madde_Listesi!$B:$B,0)),"Kod yok"))</f>
        <v/>
      </c>
      <c r="F427" s="19" t="str">
        <f aca="false">IF($B427="","",IFERROR(INDEX(Madde_Listesi!$E:$E,MATCH($B427,Madde_Listesi!$B:$B,0)),"Kod yok"))</f>
        <v/>
      </c>
      <c r="G427" s="19" t="str">
        <f aca="false">IF($B427="","",IFERROR(INDEX(Madde_Listesi!$F:$F,MATCH($B427,Madde_Listesi!$B:$B,0)),"Kod yok"))</f>
        <v/>
      </c>
      <c r="H427" s="19" t="str">
        <f aca="false">IF($A427="","",IFERROR(INDEX(Denetimler!$C:$C,MATCH($A427,Denetimler!$A:$A,0)),"No yok"))</f>
        <v/>
      </c>
      <c r="I427" s="19" t="str">
        <f aca="false">IF($A427="","",IFERROR(INDEX(Denetimler!$D:$D,MATCH($A427,Denetimler!$A:$A,0)),"No yok"))</f>
        <v/>
      </c>
      <c r="J427" s="19" t="str">
        <f aca="false">IF($A427="","",IFERROR(INDEX(Denetimler!$E:$E,MATCH($A427,Denetimler!$A:$A,0)),"No yok"))</f>
        <v/>
      </c>
      <c r="K427" s="25" t="str">
        <f aca="false">IF($A427="","",IFERROR(INDEX(Denetimler!$B:$B,MATCH($A427,Denetimler!$A:$A,0)),"No yok"))</f>
        <v/>
      </c>
    </row>
    <row r="428" customFormat="false" ht="15" hidden="false" customHeight="false" outlineLevel="0" collapsed="false">
      <c r="D428" s="19" t="str">
        <f aca="false">IF($B428="","",IFERROR(INDEX(Madde_Listesi!$C:$C,MATCH($B428,Madde_Listesi!$B:$B,0)),"Kod yok"))</f>
        <v/>
      </c>
      <c r="E428" s="19" t="str">
        <f aca="false">IF($B428="","",IFERROR(INDEX(Madde_Listesi!$D:$D,MATCH($B428,Madde_Listesi!$B:$B,0)),"Kod yok"))</f>
        <v/>
      </c>
      <c r="F428" s="19" t="str">
        <f aca="false">IF($B428="","",IFERROR(INDEX(Madde_Listesi!$E:$E,MATCH($B428,Madde_Listesi!$B:$B,0)),"Kod yok"))</f>
        <v/>
      </c>
      <c r="G428" s="19" t="str">
        <f aca="false">IF($B428="","",IFERROR(INDEX(Madde_Listesi!$F:$F,MATCH($B428,Madde_Listesi!$B:$B,0)),"Kod yok"))</f>
        <v/>
      </c>
      <c r="H428" s="19" t="str">
        <f aca="false">IF($A428="","",IFERROR(INDEX(Denetimler!$C:$C,MATCH($A428,Denetimler!$A:$A,0)),"No yok"))</f>
        <v/>
      </c>
      <c r="I428" s="19" t="str">
        <f aca="false">IF($A428="","",IFERROR(INDEX(Denetimler!$D:$D,MATCH($A428,Denetimler!$A:$A,0)),"No yok"))</f>
        <v/>
      </c>
      <c r="J428" s="19" t="str">
        <f aca="false">IF($A428="","",IFERROR(INDEX(Denetimler!$E:$E,MATCH($A428,Denetimler!$A:$A,0)),"No yok"))</f>
        <v/>
      </c>
      <c r="K428" s="25" t="str">
        <f aca="false">IF($A428="","",IFERROR(INDEX(Denetimler!$B:$B,MATCH($A428,Denetimler!$A:$A,0)),"No yok"))</f>
        <v/>
      </c>
    </row>
    <row r="429" customFormat="false" ht="15" hidden="false" customHeight="false" outlineLevel="0" collapsed="false">
      <c r="D429" s="19" t="str">
        <f aca="false">IF($B429="","",IFERROR(INDEX(Madde_Listesi!$C:$C,MATCH($B429,Madde_Listesi!$B:$B,0)),"Kod yok"))</f>
        <v/>
      </c>
      <c r="E429" s="19" t="str">
        <f aca="false">IF($B429="","",IFERROR(INDEX(Madde_Listesi!$D:$D,MATCH($B429,Madde_Listesi!$B:$B,0)),"Kod yok"))</f>
        <v/>
      </c>
      <c r="F429" s="19" t="str">
        <f aca="false">IF($B429="","",IFERROR(INDEX(Madde_Listesi!$E:$E,MATCH($B429,Madde_Listesi!$B:$B,0)),"Kod yok"))</f>
        <v/>
      </c>
      <c r="G429" s="19" t="str">
        <f aca="false">IF($B429="","",IFERROR(INDEX(Madde_Listesi!$F:$F,MATCH($B429,Madde_Listesi!$B:$B,0)),"Kod yok"))</f>
        <v/>
      </c>
      <c r="H429" s="19" t="str">
        <f aca="false">IF($A429="","",IFERROR(INDEX(Denetimler!$C:$C,MATCH($A429,Denetimler!$A:$A,0)),"No yok"))</f>
        <v/>
      </c>
      <c r="I429" s="19" t="str">
        <f aca="false">IF($A429="","",IFERROR(INDEX(Denetimler!$D:$D,MATCH($A429,Denetimler!$A:$A,0)),"No yok"))</f>
        <v/>
      </c>
      <c r="J429" s="19" t="str">
        <f aca="false">IF($A429="","",IFERROR(INDEX(Denetimler!$E:$E,MATCH($A429,Denetimler!$A:$A,0)),"No yok"))</f>
        <v/>
      </c>
      <c r="K429" s="25" t="str">
        <f aca="false">IF($A429="","",IFERROR(INDEX(Denetimler!$B:$B,MATCH($A429,Denetimler!$A:$A,0)),"No yok"))</f>
        <v/>
      </c>
    </row>
    <row r="430" customFormat="false" ht="15" hidden="false" customHeight="false" outlineLevel="0" collapsed="false">
      <c r="D430" s="19" t="str">
        <f aca="false">IF($B430="","",IFERROR(INDEX(Madde_Listesi!$C:$C,MATCH($B430,Madde_Listesi!$B:$B,0)),"Kod yok"))</f>
        <v/>
      </c>
      <c r="E430" s="19" t="str">
        <f aca="false">IF($B430="","",IFERROR(INDEX(Madde_Listesi!$D:$D,MATCH($B430,Madde_Listesi!$B:$B,0)),"Kod yok"))</f>
        <v/>
      </c>
      <c r="F430" s="19" t="str">
        <f aca="false">IF($B430="","",IFERROR(INDEX(Madde_Listesi!$E:$E,MATCH($B430,Madde_Listesi!$B:$B,0)),"Kod yok"))</f>
        <v/>
      </c>
      <c r="G430" s="19" t="str">
        <f aca="false">IF($B430="","",IFERROR(INDEX(Madde_Listesi!$F:$F,MATCH($B430,Madde_Listesi!$B:$B,0)),"Kod yok"))</f>
        <v/>
      </c>
      <c r="H430" s="19" t="str">
        <f aca="false">IF($A430="","",IFERROR(INDEX(Denetimler!$C:$C,MATCH($A430,Denetimler!$A:$A,0)),"No yok"))</f>
        <v/>
      </c>
      <c r="I430" s="19" t="str">
        <f aca="false">IF($A430="","",IFERROR(INDEX(Denetimler!$D:$D,MATCH($A430,Denetimler!$A:$A,0)),"No yok"))</f>
        <v/>
      </c>
      <c r="J430" s="19" t="str">
        <f aca="false">IF($A430="","",IFERROR(INDEX(Denetimler!$E:$E,MATCH($A430,Denetimler!$A:$A,0)),"No yok"))</f>
        <v/>
      </c>
      <c r="K430" s="25" t="str">
        <f aca="false">IF($A430="","",IFERROR(INDEX(Denetimler!$B:$B,MATCH($A430,Denetimler!$A:$A,0)),"No yok"))</f>
        <v/>
      </c>
    </row>
    <row r="431" customFormat="false" ht="15" hidden="false" customHeight="false" outlineLevel="0" collapsed="false">
      <c r="D431" s="19" t="str">
        <f aca="false">IF($B431="","",IFERROR(INDEX(Madde_Listesi!$C:$C,MATCH($B431,Madde_Listesi!$B:$B,0)),"Kod yok"))</f>
        <v/>
      </c>
      <c r="E431" s="19" t="str">
        <f aca="false">IF($B431="","",IFERROR(INDEX(Madde_Listesi!$D:$D,MATCH($B431,Madde_Listesi!$B:$B,0)),"Kod yok"))</f>
        <v/>
      </c>
      <c r="F431" s="19" t="str">
        <f aca="false">IF($B431="","",IFERROR(INDEX(Madde_Listesi!$E:$E,MATCH($B431,Madde_Listesi!$B:$B,0)),"Kod yok"))</f>
        <v/>
      </c>
      <c r="G431" s="19" t="str">
        <f aca="false">IF($B431="","",IFERROR(INDEX(Madde_Listesi!$F:$F,MATCH($B431,Madde_Listesi!$B:$B,0)),"Kod yok"))</f>
        <v/>
      </c>
      <c r="H431" s="19" t="str">
        <f aca="false">IF($A431="","",IFERROR(INDEX(Denetimler!$C:$C,MATCH($A431,Denetimler!$A:$A,0)),"No yok"))</f>
        <v/>
      </c>
      <c r="I431" s="19" t="str">
        <f aca="false">IF($A431="","",IFERROR(INDEX(Denetimler!$D:$D,MATCH($A431,Denetimler!$A:$A,0)),"No yok"))</f>
        <v/>
      </c>
      <c r="J431" s="19" t="str">
        <f aca="false">IF($A431="","",IFERROR(INDEX(Denetimler!$E:$E,MATCH($A431,Denetimler!$A:$A,0)),"No yok"))</f>
        <v/>
      </c>
      <c r="K431" s="25" t="str">
        <f aca="false">IF($A431="","",IFERROR(INDEX(Denetimler!$B:$B,MATCH($A431,Denetimler!$A:$A,0)),"No yok"))</f>
        <v/>
      </c>
    </row>
    <row r="432" customFormat="false" ht="15" hidden="false" customHeight="false" outlineLevel="0" collapsed="false">
      <c r="D432" s="19" t="str">
        <f aca="false">IF($B432="","",IFERROR(INDEX(Madde_Listesi!$C:$C,MATCH($B432,Madde_Listesi!$B:$B,0)),"Kod yok"))</f>
        <v/>
      </c>
      <c r="E432" s="19" t="str">
        <f aca="false">IF($B432="","",IFERROR(INDEX(Madde_Listesi!$D:$D,MATCH($B432,Madde_Listesi!$B:$B,0)),"Kod yok"))</f>
        <v/>
      </c>
      <c r="F432" s="19" t="str">
        <f aca="false">IF($B432="","",IFERROR(INDEX(Madde_Listesi!$E:$E,MATCH($B432,Madde_Listesi!$B:$B,0)),"Kod yok"))</f>
        <v/>
      </c>
      <c r="G432" s="19" t="str">
        <f aca="false">IF($B432="","",IFERROR(INDEX(Madde_Listesi!$F:$F,MATCH($B432,Madde_Listesi!$B:$B,0)),"Kod yok"))</f>
        <v/>
      </c>
      <c r="H432" s="19" t="str">
        <f aca="false">IF($A432="","",IFERROR(INDEX(Denetimler!$C:$C,MATCH($A432,Denetimler!$A:$A,0)),"No yok"))</f>
        <v/>
      </c>
      <c r="I432" s="19" t="str">
        <f aca="false">IF($A432="","",IFERROR(INDEX(Denetimler!$D:$D,MATCH($A432,Denetimler!$A:$A,0)),"No yok"))</f>
        <v/>
      </c>
      <c r="J432" s="19" t="str">
        <f aca="false">IF($A432="","",IFERROR(INDEX(Denetimler!$E:$E,MATCH($A432,Denetimler!$A:$A,0)),"No yok"))</f>
        <v/>
      </c>
      <c r="K432" s="25" t="str">
        <f aca="false">IF($A432="","",IFERROR(INDEX(Denetimler!$B:$B,MATCH($A432,Denetimler!$A:$A,0)),"No yok"))</f>
        <v/>
      </c>
    </row>
    <row r="433" customFormat="false" ht="15" hidden="false" customHeight="false" outlineLevel="0" collapsed="false">
      <c r="D433" s="19" t="str">
        <f aca="false">IF($B433="","",IFERROR(INDEX(Madde_Listesi!$C:$C,MATCH($B433,Madde_Listesi!$B:$B,0)),"Kod yok"))</f>
        <v/>
      </c>
      <c r="E433" s="19" t="str">
        <f aca="false">IF($B433="","",IFERROR(INDEX(Madde_Listesi!$D:$D,MATCH($B433,Madde_Listesi!$B:$B,0)),"Kod yok"))</f>
        <v/>
      </c>
      <c r="F433" s="19" t="str">
        <f aca="false">IF($B433="","",IFERROR(INDEX(Madde_Listesi!$E:$E,MATCH($B433,Madde_Listesi!$B:$B,0)),"Kod yok"))</f>
        <v/>
      </c>
      <c r="G433" s="19" t="str">
        <f aca="false">IF($B433="","",IFERROR(INDEX(Madde_Listesi!$F:$F,MATCH($B433,Madde_Listesi!$B:$B,0)),"Kod yok"))</f>
        <v/>
      </c>
      <c r="H433" s="19" t="str">
        <f aca="false">IF($A433="","",IFERROR(INDEX(Denetimler!$C:$C,MATCH($A433,Denetimler!$A:$A,0)),"No yok"))</f>
        <v/>
      </c>
      <c r="I433" s="19" t="str">
        <f aca="false">IF($A433="","",IFERROR(INDEX(Denetimler!$D:$D,MATCH($A433,Denetimler!$A:$A,0)),"No yok"))</f>
        <v/>
      </c>
      <c r="J433" s="19" t="str">
        <f aca="false">IF($A433="","",IFERROR(INDEX(Denetimler!$E:$E,MATCH($A433,Denetimler!$A:$A,0)),"No yok"))</f>
        <v/>
      </c>
      <c r="K433" s="25" t="str">
        <f aca="false">IF($A433="","",IFERROR(INDEX(Denetimler!$B:$B,MATCH($A433,Denetimler!$A:$A,0)),"No yok"))</f>
        <v/>
      </c>
    </row>
    <row r="434" customFormat="false" ht="15" hidden="false" customHeight="false" outlineLevel="0" collapsed="false">
      <c r="D434" s="19" t="str">
        <f aca="false">IF($B434="","",IFERROR(INDEX(Madde_Listesi!$C:$C,MATCH($B434,Madde_Listesi!$B:$B,0)),"Kod yok"))</f>
        <v/>
      </c>
      <c r="E434" s="19" t="str">
        <f aca="false">IF($B434="","",IFERROR(INDEX(Madde_Listesi!$D:$D,MATCH($B434,Madde_Listesi!$B:$B,0)),"Kod yok"))</f>
        <v/>
      </c>
      <c r="F434" s="19" t="str">
        <f aca="false">IF($B434="","",IFERROR(INDEX(Madde_Listesi!$E:$E,MATCH($B434,Madde_Listesi!$B:$B,0)),"Kod yok"))</f>
        <v/>
      </c>
      <c r="G434" s="19" t="str">
        <f aca="false">IF($B434="","",IFERROR(INDEX(Madde_Listesi!$F:$F,MATCH($B434,Madde_Listesi!$B:$B,0)),"Kod yok"))</f>
        <v/>
      </c>
      <c r="H434" s="19" t="str">
        <f aca="false">IF($A434="","",IFERROR(INDEX(Denetimler!$C:$C,MATCH($A434,Denetimler!$A:$A,0)),"No yok"))</f>
        <v/>
      </c>
      <c r="I434" s="19" t="str">
        <f aca="false">IF($A434="","",IFERROR(INDEX(Denetimler!$D:$D,MATCH($A434,Denetimler!$A:$A,0)),"No yok"))</f>
        <v/>
      </c>
      <c r="J434" s="19" t="str">
        <f aca="false">IF($A434="","",IFERROR(INDEX(Denetimler!$E:$E,MATCH($A434,Denetimler!$A:$A,0)),"No yok"))</f>
        <v/>
      </c>
      <c r="K434" s="25" t="str">
        <f aca="false">IF($A434="","",IFERROR(INDEX(Denetimler!$B:$B,MATCH($A434,Denetimler!$A:$A,0)),"No yok"))</f>
        <v/>
      </c>
    </row>
    <row r="435" customFormat="false" ht="15" hidden="false" customHeight="false" outlineLevel="0" collapsed="false">
      <c r="D435" s="19" t="str">
        <f aca="false">IF($B435="","",IFERROR(INDEX(Madde_Listesi!$C:$C,MATCH($B435,Madde_Listesi!$B:$B,0)),"Kod yok"))</f>
        <v/>
      </c>
      <c r="E435" s="19" t="str">
        <f aca="false">IF($B435="","",IFERROR(INDEX(Madde_Listesi!$D:$D,MATCH($B435,Madde_Listesi!$B:$B,0)),"Kod yok"))</f>
        <v/>
      </c>
      <c r="F435" s="19" t="str">
        <f aca="false">IF($B435="","",IFERROR(INDEX(Madde_Listesi!$E:$E,MATCH($B435,Madde_Listesi!$B:$B,0)),"Kod yok"))</f>
        <v/>
      </c>
      <c r="G435" s="19" t="str">
        <f aca="false">IF($B435="","",IFERROR(INDEX(Madde_Listesi!$F:$F,MATCH($B435,Madde_Listesi!$B:$B,0)),"Kod yok"))</f>
        <v/>
      </c>
      <c r="H435" s="19" t="str">
        <f aca="false">IF($A435="","",IFERROR(INDEX(Denetimler!$C:$C,MATCH($A435,Denetimler!$A:$A,0)),"No yok"))</f>
        <v/>
      </c>
      <c r="I435" s="19" t="str">
        <f aca="false">IF($A435="","",IFERROR(INDEX(Denetimler!$D:$D,MATCH($A435,Denetimler!$A:$A,0)),"No yok"))</f>
        <v/>
      </c>
      <c r="J435" s="19" t="str">
        <f aca="false">IF($A435="","",IFERROR(INDEX(Denetimler!$E:$E,MATCH($A435,Denetimler!$A:$A,0)),"No yok"))</f>
        <v/>
      </c>
      <c r="K435" s="25" t="str">
        <f aca="false">IF($A435="","",IFERROR(INDEX(Denetimler!$B:$B,MATCH($A435,Denetimler!$A:$A,0)),"No yok"))</f>
        <v/>
      </c>
    </row>
    <row r="436" customFormat="false" ht="15" hidden="false" customHeight="false" outlineLevel="0" collapsed="false">
      <c r="D436" s="19" t="str">
        <f aca="false">IF($B436="","",IFERROR(INDEX(Madde_Listesi!$C:$C,MATCH($B436,Madde_Listesi!$B:$B,0)),"Kod yok"))</f>
        <v/>
      </c>
      <c r="E436" s="19" t="str">
        <f aca="false">IF($B436="","",IFERROR(INDEX(Madde_Listesi!$D:$D,MATCH($B436,Madde_Listesi!$B:$B,0)),"Kod yok"))</f>
        <v/>
      </c>
      <c r="F436" s="19" t="str">
        <f aca="false">IF($B436="","",IFERROR(INDEX(Madde_Listesi!$E:$E,MATCH($B436,Madde_Listesi!$B:$B,0)),"Kod yok"))</f>
        <v/>
      </c>
      <c r="G436" s="19" t="str">
        <f aca="false">IF($B436="","",IFERROR(INDEX(Madde_Listesi!$F:$F,MATCH($B436,Madde_Listesi!$B:$B,0)),"Kod yok"))</f>
        <v/>
      </c>
      <c r="H436" s="19" t="str">
        <f aca="false">IF($A436="","",IFERROR(INDEX(Denetimler!$C:$C,MATCH($A436,Denetimler!$A:$A,0)),"No yok"))</f>
        <v/>
      </c>
      <c r="I436" s="19" t="str">
        <f aca="false">IF($A436="","",IFERROR(INDEX(Denetimler!$D:$D,MATCH($A436,Denetimler!$A:$A,0)),"No yok"))</f>
        <v/>
      </c>
      <c r="J436" s="19" t="str">
        <f aca="false">IF($A436="","",IFERROR(INDEX(Denetimler!$E:$E,MATCH($A436,Denetimler!$A:$A,0)),"No yok"))</f>
        <v/>
      </c>
      <c r="K436" s="25" t="str">
        <f aca="false">IF($A436="","",IFERROR(INDEX(Denetimler!$B:$B,MATCH($A436,Denetimler!$A:$A,0)),"No yok"))</f>
        <v/>
      </c>
    </row>
    <row r="437" customFormat="false" ht="15" hidden="false" customHeight="false" outlineLevel="0" collapsed="false">
      <c r="D437" s="19" t="str">
        <f aca="false">IF($B437="","",IFERROR(INDEX(Madde_Listesi!$C:$C,MATCH($B437,Madde_Listesi!$B:$B,0)),"Kod yok"))</f>
        <v/>
      </c>
      <c r="E437" s="19" t="str">
        <f aca="false">IF($B437="","",IFERROR(INDEX(Madde_Listesi!$D:$D,MATCH($B437,Madde_Listesi!$B:$B,0)),"Kod yok"))</f>
        <v/>
      </c>
      <c r="F437" s="19" t="str">
        <f aca="false">IF($B437="","",IFERROR(INDEX(Madde_Listesi!$E:$E,MATCH($B437,Madde_Listesi!$B:$B,0)),"Kod yok"))</f>
        <v/>
      </c>
      <c r="G437" s="19" t="str">
        <f aca="false">IF($B437="","",IFERROR(INDEX(Madde_Listesi!$F:$F,MATCH($B437,Madde_Listesi!$B:$B,0)),"Kod yok"))</f>
        <v/>
      </c>
      <c r="H437" s="19" t="str">
        <f aca="false">IF($A437="","",IFERROR(INDEX(Denetimler!$C:$C,MATCH($A437,Denetimler!$A:$A,0)),"No yok"))</f>
        <v/>
      </c>
      <c r="I437" s="19" t="str">
        <f aca="false">IF($A437="","",IFERROR(INDEX(Denetimler!$D:$D,MATCH($A437,Denetimler!$A:$A,0)),"No yok"))</f>
        <v/>
      </c>
      <c r="J437" s="19" t="str">
        <f aca="false">IF($A437="","",IFERROR(INDEX(Denetimler!$E:$E,MATCH($A437,Denetimler!$A:$A,0)),"No yok"))</f>
        <v/>
      </c>
      <c r="K437" s="25" t="str">
        <f aca="false">IF($A437="","",IFERROR(INDEX(Denetimler!$B:$B,MATCH($A437,Denetimler!$A:$A,0)),"No yok"))</f>
        <v/>
      </c>
    </row>
    <row r="438" customFormat="false" ht="15" hidden="false" customHeight="false" outlineLevel="0" collapsed="false">
      <c r="D438" s="19" t="str">
        <f aca="false">IF($B438="","",IFERROR(INDEX(Madde_Listesi!$C:$C,MATCH($B438,Madde_Listesi!$B:$B,0)),"Kod yok"))</f>
        <v/>
      </c>
      <c r="E438" s="19" t="str">
        <f aca="false">IF($B438="","",IFERROR(INDEX(Madde_Listesi!$D:$D,MATCH($B438,Madde_Listesi!$B:$B,0)),"Kod yok"))</f>
        <v/>
      </c>
      <c r="F438" s="19" t="str">
        <f aca="false">IF($B438="","",IFERROR(INDEX(Madde_Listesi!$E:$E,MATCH($B438,Madde_Listesi!$B:$B,0)),"Kod yok"))</f>
        <v/>
      </c>
      <c r="G438" s="19" t="str">
        <f aca="false">IF($B438="","",IFERROR(INDEX(Madde_Listesi!$F:$F,MATCH($B438,Madde_Listesi!$B:$B,0)),"Kod yok"))</f>
        <v/>
      </c>
      <c r="H438" s="19" t="str">
        <f aca="false">IF($A438="","",IFERROR(INDEX(Denetimler!$C:$C,MATCH($A438,Denetimler!$A:$A,0)),"No yok"))</f>
        <v/>
      </c>
      <c r="I438" s="19" t="str">
        <f aca="false">IF($A438="","",IFERROR(INDEX(Denetimler!$D:$D,MATCH($A438,Denetimler!$A:$A,0)),"No yok"))</f>
        <v/>
      </c>
      <c r="J438" s="19" t="str">
        <f aca="false">IF($A438="","",IFERROR(INDEX(Denetimler!$E:$E,MATCH($A438,Denetimler!$A:$A,0)),"No yok"))</f>
        <v/>
      </c>
      <c r="K438" s="25" t="str">
        <f aca="false">IF($A438="","",IFERROR(INDEX(Denetimler!$B:$B,MATCH($A438,Denetimler!$A:$A,0)),"No yok"))</f>
        <v/>
      </c>
    </row>
    <row r="439" customFormat="false" ht="15" hidden="false" customHeight="false" outlineLevel="0" collapsed="false">
      <c r="D439" s="19" t="str">
        <f aca="false">IF($B439="","",IFERROR(INDEX(Madde_Listesi!$C:$C,MATCH($B439,Madde_Listesi!$B:$B,0)),"Kod yok"))</f>
        <v/>
      </c>
      <c r="E439" s="19" t="str">
        <f aca="false">IF($B439="","",IFERROR(INDEX(Madde_Listesi!$D:$D,MATCH($B439,Madde_Listesi!$B:$B,0)),"Kod yok"))</f>
        <v/>
      </c>
      <c r="F439" s="19" t="str">
        <f aca="false">IF($B439="","",IFERROR(INDEX(Madde_Listesi!$E:$E,MATCH($B439,Madde_Listesi!$B:$B,0)),"Kod yok"))</f>
        <v/>
      </c>
      <c r="G439" s="19" t="str">
        <f aca="false">IF($B439="","",IFERROR(INDEX(Madde_Listesi!$F:$F,MATCH($B439,Madde_Listesi!$B:$B,0)),"Kod yok"))</f>
        <v/>
      </c>
      <c r="H439" s="19" t="str">
        <f aca="false">IF($A439="","",IFERROR(INDEX(Denetimler!$C:$C,MATCH($A439,Denetimler!$A:$A,0)),"No yok"))</f>
        <v/>
      </c>
      <c r="I439" s="19" t="str">
        <f aca="false">IF($A439="","",IFERROR(INDEX(Denetimler!$D:$D,MATCH($A439,Denetimler!$A:$A,0)),"No yok"))</f>
        <v/>
      </c>
      <c r="J439" s="19" t="str">
        <f aca="false">IF($A439="","",IFERROR(INDEX(Denetimler!$E:$E,MATCH($A439,Denetimler!$A:$A,0)),"No yok"))</f>
        <v/>
      </c>
      <c r="K439" s="25" t="str">
        <f aca="false">IF($A439="","",IFERROR(INDEX(Denetimler!$B:$B,MATCH($A439,Denetimler!$A:$A,0)),"No yok"))</f>
        <v/>
      </c>
    </row>
    <row r="440" customFormat="false" ht="15" hidden="false" customHeight="false" outlineLevel="0" collapsed="false">
      <c r="D440" s="19" t="str">
        <f aca="false">IF($B440="","",IFERROR(INDEX(Madde_Listesi!$C:$C,MATCH($B440,Madde_Listesi!$B:$B,0)),"Kod yok"))</f>
        <v/>
      </c>
      <c r="E440" s="19" t="str">
        <f aca="false">IF($B440="","",IFERROR(INDEX(Madde_Listesi!$D:$D,MATCH($B440,Madde_Listesi!$B:$B,0)),"Kod yok"))</f>
        <v/>
      </c>
      <c r="F440" s="19" t="str">
        <f aca="false">IF($B440="","",IFERROR(INDEX(Madde_Listesi!$E:$E,MATCH($B440,Madde_Listesi!$B:$B,0)),"Kod yok"))</f>
        <v/>
      </c>
      <c r="G440" s="19" t="str">
        <f aca="false">IF($B440="","",IFERROR(INDEX(Madde_Listesi!$F:$F,MATCH($B440,Madde_Listesi!$B:$B,0)),"Kod yok"))</f>
        <v/>
      </c>
      <c r="H440" s="19" t="str">
        <f aca="false">IF($A440="","",IFERROR(INDEX(Denetimler!$C:$C,MATCH($A440,Denetimler!$A:$A,0)),"No yok"))</f>
        <v/>
      </c>
      <c r="I440" s="19" t="str">
        <f aca="false">IF($A440="","",IFERROR(INDEX(Denetimler!$D:$D,MATCH($A440,Denetimler!$A:$A,0)),"No yok"))</f>
        <v/>
      </c>
      <c r="J440" s="19" t="str">
        <f aca="false">IF($A440="","",IFERROR(INDEX(Denetimler!$E:$E,MATCH($A440,Denetimler!$A:$A,0)),"No yok"))</f>
        <v/>
      </c>
      <c r="K440" s="25" t="str">
        <f aca="false">IF($A440="","",IFERROR(INDEX(Denetimler!$B:$B,MATCH($A440,Denetimler!$A:$A,0)),"No yok"))</f>
        <v/>
      </c>
    </row>
    <row r="441" customFormat="false" ht="15" hidden="false" customHeight="false" outlineLevel="0" collapsed="false">
      <c r="D441" s="19" t="str">
        <f aca="false">IF($B441="","",IFERROR(INDEX(Madde_Listesi!$C:$C,MATCH($B441,Madde_Listesi!$B:$B,0)),"Kod yok"))</f>
        <v/>
      </c>
      <c r="E441" s="19" t="str">
        <f aca="false">IF($B441="","",IFERROR(INDEX(Madde_Listesi!$D:$D,MATCH($B441,Madde_Listesi!$B:$B,0)),"Kod yok"))</f>
        <v/>
      </c>
      <c r="F441" s="19" t="str">
        <f aca="false">IF($B441="","",IFERROR(INDEX(Madde_Listesi!$E:$E,MATCH($B441,Madde_Listesi!$B:$B,0)),"Kod yok"))</f>
        <v/>
      </c>
      <c r="G441" s="19" t="str">
        <f aca="false">IF($B441="","",IFERROR(INDEX(Madde_Listesi!$F:$F,MATCH($B441,Madde_Listesi!$B:$B,0)),"Kod yok"))</f>
        <v/>
      </c>
      <c r="H441" s="19" t="str">
        <f aca="false">IF($A441="","",IFERROR(INDEX(Denetimler!$C:$C,MATCH($A441,Denetimler!$A:$A,0)),"No yok"))</f>
        <v/>
      </c>
      <c r="I441" s="19" t="str">
        <f aca="false">IF($A441="","",IFERROR(INDEX(Denetimler!$D:$D,MATCH($A441,Denetimler!$A:$A,0)),"No yok"))</f>
        <v/>
      </c>
      <c r="J441" s="19" t="str">
        <f aca="false">IF($A441="","",IFERROR(INDEX(Denetimler!$E:$E,MATCH($A441,Denetimler!$A:$A,0)),"No yok"))</f>
        <v/>
      </c>
      <c r="K441" s="25" t="str">
        <f aca="false">IF($A441="","",IFERROR(INDEX(Denetimler!$B:$B,MATCH($A441,Denetimler!$A:$A,0)),"No yok"))</f>
        <v/>
      </c>
    </row>
    <row r="442" customFormat="false" ht="15" hidden="false" customHeight="false" outlineLevel="0" collapsed="false">
      <c r="D442" s="19" t="str">
        <f aca="false">IF($B442="","",IFERROR(INDEX(Madde_Listesi!$C:$C,MATCH($B442,Madde_Listesi!$B:$B,0)),"Kod yok"))</f>
        <v/>
      </c>
      <c r="E442" s="19" t="str">
        <f aca="false">IF($B442="","",IFERROR(INDEX(Madde_Listesi!$D:$D,MATCH($B442,Madde_Listesi!$B:$B,0)),"Kod yok"))</f>
        <v/>
      </c>
      <c r="F442" s="19" t="str">
        <f aca="false">IF($B442="","",IFERROR(INDEX(Madde_Listesi!$E:$E,MATCH($B442,Madde_Listesi!$B:$B,0)),"Kod yok"))</f>
        <v/>
      </c>
      <c r="G442" s="19" t="str">
        <f aca="false">IF($B442="","",IFERROR(INDEX(Madde_Listesi!$F:$F,MATCH($B442,Madde_Listesi!$B:$B,0)),"Kod yok"))</f>
        <v/>
      </c>
      <c r="H442" s="19" t="str">
        <f aca="false">IF($A442="","",IFERROR(INDEX(Denetimler!$C:$C,MATCH($A442,Denetimler!$A:$A,0)),"No yok"))</f>
        <v/>
      </c>
      <c r="I442" s="19" t="str">
        <f aca="false">IF($A442="","",IFERROR(INDEX(Denetimler!$D:$D,MATCH($A442,Denetimler!$A:$A,0)),"No yok"))</f>
        <v/>
      </c>
      <c r="J442" s="19" t="str">
        <f aca="false">IF($A442="","",IFERROR(INDEX(Denetimler!$E:$E,MATCH($A442,Denetimler!$A:$A,0)),"No yok"))</f>
        <v/>
      </c>
      <c r="K442" s="25" t="str">
        <f aca="false">IF($A442="","",IFERROR(INDEX(Denetimler!$B:$B,MATCH($A442,Denetimler!$A:$A,0)),"No yok"))</f>
        <v/>
      </c>
    </row>
    <row r="443" customFormat="false" ht="15" hidden="false" customHeight="false" outlineLevel="0" collapsed="false">
      <c r="D443" s="19" t="str">
        <f aca="false">IF($B443="","",IFERROR(INDEX(Madde_Listesi!$C:$C,MATCH($B443,Madde_Listesi!$B:$B,0)),"Kod yok"))</f>
        <v/>
      </c>
      <c r="E443" s="19" t="str">
        <f aca="false">IF($B443="","",IFERROR(INDEX(Madde_Listesi!$D:$D,MATCH($B443,Madde_Listesi!$B:$B,0)),"Kod yok"))</f>
        <v/>
      </c>
      <c r="F443" s="19" t="str">
        <f aca="false">IF($B443="","",IFERROR(INDEX(Madde_Listesi!$E:$E,MATCH($B443,Madde_Listesi!$B:$B,0)),"Kod yok"))</f>
        <v/>
      </c>
      <c r="G443" s="19" t="str">
        <f aca="false">IF($B443="","",IFERROR(INDEX(Madde_Listesi!$F:$F,MATCH($B443,Madde_Listesi!$B:$B,0)),"Kod yok"))</f>
        <v/>
      </c>
      <c r="H443" s="19" t="str">
        <f aca="false">IF($A443="","",IFERROR(INDEX(Denetimler!$C:$C,MATCH($A443,Denetimler!$A:$A,0)),"No yok"))</f>
        <v/>
      </c>
      <c r="I443" s="19" t="str">
        <f aca="false">IF($A443="","",IFERROR(INDEX(Denetimler!$D:$D,MATCH($A443,Denetimler!$A:$A,0)),"No yok"))</f>
        <v/>
      </c>
      <c r="J443" s="19" t="str">
        <f aca="false">IF($A443="","",IFERROR(INDEX(Denetimler!$E:$E,MATCH($A443,Denetimler!$A:$A,0)),"No yok"))</f>
        <v/>
      </c>
      <c r="K443" s="25" t="str">
        <f aca="false">IF($A443="","",IFERROR(INDEX(Denetimler!$B:$B,MATCH($A443,Denetimler!$A:$A,0)),"No yok"))</f>
        <v/>
      </c>
    </row>
    <row r="444" customFormat="false" ht="15" hidden="false" customHeight="false" outlineLevel="0" collapsed="false">
      <c r="D444" s="19" t="str">
        <f aca="false">IF($B444="","",IFERROR(INDEX(Madde_Listesi!$C:$C,MATCH($B444,Madde_Listesi!$B:$B,0)),"Kod yok"))</f>
        <v/>
      </c>
      <c r="E444" s="19" t="str">
        <f aca="false">IF($B444="","",IFERROR(INDEX(Madde_Listesi!$D:$D,MATCH($B444,Madde_Listesi!$B:$B,0)),"Kod yok"))</f>
        <v/>
      </c>
      <c r="F444" s="19" t="str">
        <f aca="false">IF($B444="","",IFERROR(INDEX(Madde_Listesi!$E:$E,MATCH($B444,Madde_Listesi!$B:$B,0)),"Kod yok"))</f>
        <v/>
      </c>
      <c r="G444" s="19" t="str">
        <f aca="false">IF($B444="","",IFERROR(INDEX(Madde_Listesi!$F:$F,MATCH($B444,Madde_Listesi!$B:$B,0)),"Kod yok"))</f>
        <v/>
      </c>
      <c r="H444" s="19" t="str">
        <f aca="false">IF($A444="","",IFERROR(INDEX(Denetimler!$C:$C,MATCH($A444,Denetimler!$A:$A,0)),"No yok"))</f>
        <v/>
      </c>
      <c r="I444" s="19" t="str">
        <f aca="false">IF($A444="","",IFERROR(INDEX(Denetimler!$D:$D,MATCH($A444,Denetimler!$A:$A,0)),"No yok"))</f>
        <v/>
      </c>
      <c r="J444" s="19" t="str">
        <f aca="false">IF($A444="","",IFERROR(INDEX(Denetimler!$E:$E,MATCH($A444,Denetimler!$A:$A,0)),"No yok"))</f>
        <v/>
      </c>
      <c r="K444" s="25" t="str">
        <f aca="false">IF($A444="","",IFERROR(INDEX(Denetimler!$B:$B,MATCH($A444,Denetimler!$A:$A,0)),"No yok"))</f>
        <v/>
      </c>
    </row>
    <row r="445" customFormat="false" ht="15" hidden="false" customHeight="false" outlineLevel="0" collapsed="false">
      <c r="D445" s="19" t="str">
        <f aca="false">IF($B445="","",IFERROR(INDEX(Madde_Listesi!$C:$C,MATCH($B445,Madde_Listesi!$B:$B,0)),"Kod yok"))</f>
        <v/>
      </c>
      <c r="E445" s="19" t="str">
        <f aca="false">IF($B445="","",IFERROR(INDEX(Madde_Listesi!$D:$D,MATCH($B445,Madde_Listesi!$B:$B,0)),"Kod yok"))</f>
        <v/>
      </c>
      <c r="F445" s="19" t="str">
        <f aca="false">IF($B445="","",IFERROR(INDEX(Madde_Listesi!$E:$E,MATCH($B445,Madde_Listesi!$B:$B,0)),"Kod yok"))</f>
        <v/>
      </c>
      <c r="G445" s="19" t="str">
        <f aca="false">IF($B445="","",IFERROR(INDEX(Madde_Listesi!$F:$F,MATCH($B445,Madde_Listesi!$B:$B,0)),"Kod yok"))</f>
        <v/>
      </c>
      <c r="H445" s="19" t="str">
        <f aca="false">IF($A445="","",IFERROR(INDEX(Denetimler!$C:$C,MATCH($A445,Denetimler!$A:$A,0)),"No yok"))</f>
        <v/>
      </c>
      <c r="I445" s="19" t="str">
        <f aca="false">IF($A445="","",IFERROR(INDEX(Denetimler!$D:$D,MATCH($A445,Denetimler!$A:$A,0)),"No yok"))</f>
        <v/>
      </c>
      <c r="J445" s="19" t="str">
        <f aca="false">IF($A445="","",IFERROR(INDEX(Denetimler!$E:$E,MATCH($A445,Denetimler!$A:$A,0)),"No yok"))</f>
        <v/>
      </c>
      <c r="K445" s="25" t="str">
        <f aca="false">IF($A445="","",IFERROR(INDEX(Denetimler!$B:$B,MATCH($A445,Denetimler!$A:$A,0)),"No yok"))</f>
        <v/>
      </c>
    </row>
    <row r="446" customFormat="false" ht="15" hidden="false" customHeight="false" outlineLevel="0" collapsed="false">
      <c r="D446" s="19" t="str">
        <f aca="false">IF($B446="","",IFERROR(INDEX(Madde_Listesi!$C:$C,MATCH($B446,Madde_Listesi!$B:$B,0)),"Kod yok"))</f>
        <v/>
      </c>
      <c r="E446" s="19" t="str">
        <f aca="false">IF($B446="","",IFERROR(INDEX(Madde_Listesi!$D:$D,MATCH($B446,Madde_Listesi!$B:$B,0)),"Kod yok"))</f>
        <v/>
      </c>
      <c r="F446" s="19" t="str">
        <f aca="false">IF($B446="","",IFERROR(INDEX(Madde_Listesi!$E:$E,MATCH($B446,Madde_Listesi!$B:$B,0)),"Kod yok"))</f>
        <v/>
      </c>
      <c r="G446" s="19" t="str">
        <f aca="false">IF($B446="","",IFERROR(INDEX(Madde_Listesi!$F:$F,MATCH($B446,Madde_Listesi!$B:$B,0)),"Kod yok"))</f>
        <v/>
      </c>
      <c r="H446" s="19" t="str">
        <f aca="false">IF($A446="","",IFERROR(INDEX(Denetimler!$C:$C,MATCH($A446,Denetimler!$A:$A,0)),"No yok"))</f>
        <v/>
      </c>
      <c r="I446" s="19" t="str">
        <f aca="false">IF($A446="","",IFERROR(INDEX(Denetimler!$D:$D,MATCH($A446,Denetimler!$A:$A,0)),"No yok"))</f>
        <v/>
      </c>
      <c r="J446" s="19" t="str">
        <f aca="false">IF($A446="","",IFERROR(INDEX(Denetimler!$E:$E,MATCH($A446,Denetimler!$A:$A,0)),"No yok"))</f>
        <v/>
      </c>
      <c r="K446" s="25" t="str">
        <f aca="false">IF($A446="","",IFERROR(INDEX(Denetimler!$B:$B,MATCH($A446,Denetimler!$A:$A,0)),"No yok"))</f>
        <v/>
      </c>
    </row>
    <row r="447" customFormat="false" ht="15" hidden="false" customHeight="false" outlineLevel="0" collapsed="false">
      <c r="D447" s="19" t="str">
        <f aca="false">IF($B447="","",IFERROR(INDEX(Madde_Listesi!$C:$C,MATCH($B447,Madde_Listesi!$B:$B,0)),"Kod yok"))</f>
        <v/>
      </c>
      <c r="E447" s="19" t="str">
        <f aca="false">IF($B447="","",IFERROR(INDEX(Madde_Listesi!$D:$D,MATCH($B447,Madde_Listesi!$B:$B,0)),"Kod yok"))</f>
        <v/>
      </c>
      <c r="F447" s="19" t="str">
        <f aca="false">IF($B447="","",IFERROR(INDEX(Madde_Listesi!$E:$E,MATCH($B447,Madde_Listesi!$B:$B,0)),"Kod yok"))</f>
        <v/>
      </c>
      <c r="G447" s="19" t="str">
        <f aca="false">IF($B447="","",IFERROR(INDEX(Madde_Listesi!$F:$F,MATCH($B447,Madde_Listesi!$B:$B,0)),"Kod yok"))</f>
        <v/>
      </c>
      <c r="H447" s="19" t="str">
        <f aca="false">IF($A447="","",IFERROR(INDEX(Denetimler!$C:$C,MATCH($A447,Denetimler!$A:$A,0)),"No yok"))</f>
        <v/>
      </c>
      <c r="I447" s="19" t="str">
        <f aca="false">IF($A447="","",IFERROR(INDEX(Denetimler!$D:$D,MATCH($A447,Denetimler!$A:$A,0)),"No yok"))</f>
        <v/>
      </c>
      <c r="J447" s="19" t="str">
        <f aca="false">IF($A447="","",IFERROR(INDEX(Denetimler!$E:$E,MATCH($A447,Denetimler!$A:$A,0)),"No yok"))</f>
        <v/>
      </c>
      <c r="K447" s="25" t="str">
        <f aca="false">IF($A447="","",IFERROR(INDEX(Denetimler!$B:$B,MATCH($A447,Denetimler!$A:$A,0)),"No yok"))</f>
        <v/>
      </c>
    </row>
    <row r="448" customFormat="false" ht="15" hidden="false" customHeight="false" outlineLevel="0" collapsed="false">
      <c r="D448" s="19" t="str">
        <f aca="false">IF($B448="","",IFERROR(INDEX(Madde_Listesi!$C:$C,MATCH($B448,Madde_Listesi!$B:$B,0)),"Kod yok"))</f>
        <v/>
      </c>
      <c r="E448" s="19" t="str">
        <f aca="false">IF($B448="","",IFERROR(INDEX(Madde_Listesi!$D:$D,MATCH($B448,Madde_Listesi!$B:$B,0)),"Kod yok"))</f>
        <v/>
      </c>
      <c r="F448" s="19" t="str">
        <f aca="false">IF($B448="","",IFERROR(INDEX(Madde_Listesi!$E:$E,MATCH($B448,Madde_Listesi!$B:$B,0)),"Kod yok"))</f>
        <v/>
      </c>
      <c r="G448" s="19" t="str">
        <f aca="false">IF($B448="","",IFERROR(INDEX(Madde_Listesi!$F:$F,MATCH($B448,Madde_Listesi!$B:$B,0)),"Kod yok"))</f>
        <v/>
      </c>
      <c r="H448" s="19" t="str">
        <f aca="false">IF($A448="","",IFERROR(INDEX(Denetimler!$C:$C,MATCH($A448,Denetimler!$A:$A,0)),"No yok"))</f>
        <v/>
      </c>
      <c r="I448" s="19" t="str">
        <f aca="false">IF($A448="","",IFERROR(INDEX(Denetimler!$D:$D,MATCH($A448,Denetimler!$A:$A,0)),"No yok"))</f>
        <v/>
      </c>
      <c r="J448" s="19" t="str">
        <f aca="false">IF($A448="","",IFERROR(INDEX(Denetimler!$E:$E,MATCH($A448,Denetimler!$A:$A,0)),"No yok"))</f>
        <v/>
      </c>
      <c r="K448" s="25" t="str">
        <f aca="false">IF($A448="","",IFERROR(INDEX(Denetimler!$B:$B,MATCH($A448,Denetimler!$A:$A,0)),"No yok"))</f>
        <v/>
      </c>
    </row>
    <row r="449" customFormat="false" ht="15" hidden="false" customHeight="false" outlineLevel="0" collapsed="false">
      <c r="D449" s="19" t="str">
        <f aca="false">IF($B449="","",IFERROR(INDEX(Madde_Listesi!$C:$C,MATCH($B449,Madde_Listesi!$B:$B,0)),"Kod yok"))</f>
        <v/>
      </c>
      <c r="E449" s="19" t="str">
        <f aca="false">IF($B449="","",IFERROR(INDEX(Madde_Listesi!$D:$D,MATCH($B449,Madde_Listesi!$B:$B,0)),"Kod yok"))</f>
        <v/>
      </c>
      <c r="F449" s="19" t="str">
        <f aca="false">IF($B449="","",IFERROR(INDEX(Madde_Listesi!$E:$E,MATCH($B449,Madde_Listesi!$B:$B,0)),"Kod yok"))</f>
        <v/>
      </c>
      <c r="G449" s="19" t="str">
        <f aca="false">IF($B449="","",IFERROR(INDEX(Madde_Listesi!$F:$F,MATCH($B449,Madde_Listesi!$B:$B,0)),"Kod yok"))</f>
        <v/>
      </c>
      <c r="H449" s="19" t="str">
        <f aca="false">IF($A449="","",IFERROR(INDEX(Denetimler!$C:$C,MATCH($A449,Denetimler!$A:$A,0)),"No yok"))</f>
        <v/>
      </c>
      <c r="I449" s="19" t="str">
        <f aca="false">IF($A449="","",IFERROR(INDEX(Denetimler!$D:$D,MATCH($A449,Denetimler!$A:$A,0)),"No yok"))</f>
        <v/>
      </c>
      <c r="J449" s="19" t="str">
        <f aca="false">IF($A449="","",IFERROR(INDEX(Denetimler!$E:$E,MATCH($A449,Denetimler!$A:$A,0)),"No yok"))</f>
        <v/>
      </c>
      <c r="K449" s="25" t="str">
        <f aca="false">IF($A449="","",IFERROR(INDEX(Denetimler!$B:$B,MATCH($A449,Denetimler!$A:$A,0)),"No yok"))</f>
        <v/>
      </c>
    </row>
    <row r="450" customFormat="false" ht="15" hidden="false" customHeight="false" outlineLevel="0" collapsed="false">
      <c r="D450" s="19" t="str">
        <f aca="false">IF($B450="","",IFERROR(INDEX(Madde_Listesi!$C:$C,MATCH($B450,Madde_Listesi!$B:$B,0)),"Kod yok"))</f>
        <v/>
      </c>
      <c r="E450" s="19" t="str">
        <f aca="false">IF($B450="","",IFERROR(INDEX(Madde_Listesi!$D:$D,MATCH($B450,Madde_Listesi!$B:$B,0)),"Kod yok"))</f>
        <v/>
      </c>
      <c r="F450" s="19" t="str">
        <f aca="false">IF($B450="","",IFERROR(INDEX(Madde_Listesi!$E:$E,MATCH($B450,Madde_Listesi!$B:$B,0)),"Kod yok"))</f>
        <v/>
      </c>
      <c r="G450" s="19" t="str">
        <f aca="false">IF($B450="","",IFERROR(INDEX(Madde_Listesi!$F:$F,MATCH($B450,Madde_Listesi!$B:$B,0)),"Kod yok"))</f>
        <v/>
      </c>
      <c r="H450" s="19" t="str">
        <f aca="false">IF($A450="","",IFERROR(INDEX(Denetimler!$C:$C,MATCH($A450,Denetimler!$A:$A,0)),"No yok"))</f>
        <v/>
      </c>
      <c r="I450" s="19" t="str">
        <f aca="false">IF($A450="","",IFERROR(INDEX(Denetimler!$D:$D,MATCH($A450,Denetimler!$A:$A,0)),"No yok"))</f>
        <v/>
      </c>
      <c r="J450" s="19" t="str">
        <f aca="false">IF($A450="","",IFERROR(INDEX(Denetimler!$E:$E,MATCH($A450,Denetimler!$A:$A,0)),"No yok"))</f>
        <v/>
      </c>
      <c r="K450" s="25" t="str">
        <f aca="false">IF($A450="","",IFERROR(INDEX(Denetimler!$B:$B,MATCH($A450,Denetimler!$A:$A,0)),"No yok"))</f>
        <v/>
      </c>
    </row>
    <row r="451" customFormat="false" ht="15" hidden="false" customHeight="false" outlineLevel="0" collapsed="false">
      <c r="D451" s="19" t="str">
        <f aca="false">IF($B451="","",IFERROR(INDEX(Madde_Listesi!$C:$C,MATCH($B451,Madde_Listesi!$B:$B,0)),"Kod yok"))</f>
        <v/>
      </c>
      <c r="E451" s="19" t="str">
        <f aca="false">IF($B451="","",IFERROR(INDEX(Madde_Listesi!$D:$D,MATCH($B451,Madde_Listesi!$B:$B,0)),"Kod yok"))</f>
        <v/>
      </c>
      <c r="F451" s="19" t="str">
        <f aca="false">IF($B451="","",IFERROR(INDEX(Madde_Listesi!$E:$E,MATCH($B451,Madde_Listesi!$B:$B,0)),"Kod yok"))</f>
        <v/>
      </c>
      <c r="G451" s="19" t="str">
        <f aca="false">IF($B451="","",IFERROR(INDEX(Madde_Listesi!$F:$F,MATCH($B451,Madde_Listesi!$B:$B,0)),"Kod yok"))</f>
        <v/>
      </c>
      <c r="H451" s="19" t="str">
        <f aca="false">IF($A451="","",IFERROR(INDEX(Denetimler!$C:$C,MATCH($A451,Denetimler!$A:$A,0)),"No yok"))</f>
        <v/>
      </c>
      <c r="I451" s="19" t="str">
        <f aca="false">IF($A451="","",IFERROR(INDEX(Denetimler!$D:$D,MATCH($A451,Denetimler!$A:$A,0)),"No yok"))</f>
        <v/>
      </c>
      <c r="J451" s="19" t="str">
        <f aca="false">IF($A451="","",IFERROR(INDEX(Denetimler!$E:$E,MATCH($A451,Denetimler!$A:$A,0)),"No yok"))</f>
        <v/>
      </c>
      <c r="K451" s="25" t="str">
        <f aca="false">IF($A451="","",IFERROR(INDEX(Denetimler!$B:$B,MATCH($A451,Denetimler!$A:$A,0)),"No yok"))</f>
        <v/>
      </c>
    </row>
    <row r="452" customFormat="false" ht="15" hidden="false" customHeight="false" outlineLevel="0" collapsed="false">
      <c r="D452" s="19" t="str">
        <f aca="false">IF($B452="","",IFERROR(INDEX(Madde_Listesi!$C:$C,MATCH($B452,Madde_Listesi!$B:$B,0)),"Kod yok"))</f>
        <v/>
      </c>
      <c r="E452" s="19" t="str">
        <f aca="false">IF($B452="","",IFERROR(INDEX(Madde_Listesi!$D:$D,MATCH($B452,Madde_Listesi!$B:$B,0)),"Kod yok"))</f>
        <v/>
      </c>
      <c r="F452" s="19" t="str">
        <f aca="false">IF($B452="","",IFERROR(INDEX(Madde_Listesi!$E:$E,MATCH($B452,Madde_Listesi!$B:$B,0)),"Kod yok"))</f>
        <v/>
      </c>
      <c r="G452" s="19" t="str">
        <f aca="false">IF($B452="","",IFERROR(INDEX(Madde_Listesi!$F:$F,MATCH($B452,Madde_Listesi!$B:$B,0)),"Kod yok"))</f>
        <v/>
      </c>
      <c r="H452" s="19" t="str">
        <f aca="false">IF($A452="","",IFERROR(INDEX(Denetimler!$C:$C,MATCH($A452,Denetimler!$A:$A,0)),"No yok"))</f>
        <v/>
      </c>
      <c r="I452" s="19" t="str">
        <f aca="false">IF($A452="","",IFERROR(INDEX(Denetimler!$D:$D,MATCH($A452,Denetimler!$A:$A,0)),"No yok"))</f>
        <v/>
      </c>
      <c r="J452" s="19" t="str">
        <f aca="false">IF($A452="","",IFERROR(INDEX(Denetimler!$E:$E,MATCH($A452,Denetimler!$A:$A,0)),"No yok"))</f>
        <v/>
      </c>
      <c r="K452" s="25" t="str">
        <f aca="false">IF($A452="","",IFERROR(INDEX(Denetimler!$B:$B,MATCH($A452,Denetimler!$A:$A,0)),"No yok"))</f>
        <v/>
      </c>
    </row>
    <row r="453" customFormat="false" ht="15" hidden="false" customHeight="false" outlineLevel="0" collapsed="false">
      <c r="D453" s="19" t="str">
        <f aca="false">IF($B453="","",IFERROR(INDEX(Madde_Listesi!$C:$C,MATCH($B453,Madde_Listesi!$B:$B,0)),"Kod yok"))</f>
        <v/>
      </c>
      <c r="E453" s="19" t="str">
        <f aca="false">IF($B453="","",IFERROR(INDEX(Madde_Listesi!$D:$D,MATCH($B453,Madde_Listesi!$B:$B,0)),"Kod yok"))</f>
        <v/>
      </c>
      <c r="F453" s="19" t="str">
        <f aca="false">IF($B453="","",IFERROR(INDEX(Madde_Listesi!$E:$E,MATCH($B453,Madde_Listesi!$B:$B,0)),"Kod yok"))</f>
        <v/>
      </c>
      <c r="G453" s="19" t="str">
        <f aca="false">IF($B453="","",IFERROR(INDEX(Madde_Listesi!$F:$F,MATCH($B453,Madde_Listesi!$B:$B,0)),"Kod yok"))</f>
        <v/>
      </c>
      <c r="H453" s="19" t="str">
        <f aca="false">IF($A453="","",IFERROR(INDEX(Denetimler!$C:$C,MATCH($A453,Denetimler!$A:$A,0)),"No yok"))</f>
        <v/>
      </c>
      <c r="I453" s="19" t="str">
        <f aca="false">IF($A453="","",IFERROR(INDEX(Denetimler!$D:$D,MATCH($A453,Denetimler!$A:$A,0)),"No yok"))</f>
        <v/>
      </c>
      <c r="J453" s="19" t="str">
        <f aca="false">IF($A453="","",IFERROR(INDEX(Denetimler!$E:$E,MATCH($A453,Denetimler!$A:$A,0)),"No yok"))</f>
        <v/>
      </c>
      <c r="K453" s="25" t="str">
        <f aca="false">IF($A453="","",IFERROR(INDEX(Denetimler!$B:$B,MATCH($A453,Denetimler!$A:$A,0)),"No yok"))</f>
        <v/>
      </c>
    </row>
    <row r="454" customFormat="false" ht="15" hidden="false" customHeight="false" outlineLevel="0" collapsed="false">
      <c r="D454" s="19" t="str">
        <f aca="false">IF($B454="","",IFERROR(INDEX(Madde_Listesi!$C:$C,MATCH($B454,Madde_Listesi!$B:$B,0)),"Kod yok"))</f>
        <v/>
      </c>
      <c r="E454" s="19" t="str">
        <f aca="false">IF($B454="","",IFERROR(INDEX(Madde_Listesi!$D:$D,MATCH($B454,Madde_Listesi!$B:$B,0)),"Kod yok"))</f>
        <v/>
      </c>
      <c r="F454" s="19" t="str">
        <f aca="false">IF($B454="","",IFERROR(INDEX(Madde_Listesi!$E:$E,MATCH($B454,Madde_Listesi!$B:$B,0)),"Kod yok"))</f>
        <v/>
      </c>
      <c r="G454" s="19" t="str">
        <f aca="false">IF($B454="","",IFERROR(INDEX(Madde_Listesi!$F:$F,MATCH($B454,Madde_Listesi!$B:$B,0)),"Kod yok"))</f>
        <v/>
      </c>
      <c r="H454" s="19" t="str">
        <f aca="false">IF($A454="","",IFERROR(INDEX(Denetimler!$C:$C,MATCH($A454,Denetimler!$A:$A,0)),"No yok"))</f>
        <v/>
      </c>
      <c r="I454" s="19" t="str">
        <f aca="false">IF($A454="","",IFERROR(INDEX(Denetimler!$D:$D,MATCH($A454,Denetimler!$A:$A,0)),"No yok"))</f>
        <v/>
      </c>
      <c r="J454" s="19" t="str">
        <f aca="false">IF($A454="","",IFERROR(INDEX(Denetimler!$E:$E,MATCH($A454,Denetimler!$A:$A,0)),"No yok"))</f>
        <v/>
      </c>
      <c r="K454" s="25" t="str">
        <f aca="false">IF($A454="","",IFERROR(INDEX(Denetimler!$B:$B,MATCH($A454,Denetimler!$A:$A,0)),"No yok"))</f>
        <v/>
      </c>
    </row>
    <row r="455" customFormat="false" ht="15" hidden="false" customHeight="false" outlineLevel="0" collapsed="false">
      <c r="D455" s="19" t="str">
        <f aca="false">IF($B455="","",IFERROR(INDEX(Madde_Listesi!$C:$C,MATCH($B455,Madde_Listesi!$B:$B,0)),"Kod yok"))</f>
        <v/>
      </c>
      <c r="E455" s="19" t="str">
        <f aca="false">IF($B455="","",IFERROR(INDEX(Madde_Listesi!$D:$D,MATCH($B455,Madde_Listesi!$B:$B,0)),"Kod yok"))</f>
        <v/>
      </c>
      <c r="F455" s="19" t="str">
        <f aca="false">IF($B455="","",IFERROR(INDEX(Madde_Listesi!$E:$E,MATCH($B455,Madde_Listesi!$B:$B,0)),"Kod yok"))</f>
        <v/>
      </c>
      <c r="G455" s="19" t="str">
        <f aca="false">IF($B455="","",IFERROR(INDEX(Madde_Listesi!$F:$F,MATCH($B455,Madde_Listesi!$B:$B,0)),"Kod yok"))</f>
        <v/>
      </c>
      <c r="H455" s="19" t="str">
        <f aca="false">IF($A455="","",IFERROR(INDEX(Denetimler!$C:$C,MATCH($A455,Denetimler!$A:$A,0)),"No yok"))</f>
        <v/>
      </c>
      <c r="I455" s="19" t="str">
        <f aca="false">IF($A455="","",IFERROR(INDEX(Denetimler!$D:$D,MATCH($A455,Denetimler!$A:$A,0)),"No yok"))</f>
        <v/>
      </c>
      <c r="J455" s="19" t="str">
        <f aca="false">IF($A455="","",IFERROR(INDEX(Denetimler!$E:$E,MATCH($A455,Denetimler!$A:$A,0)),"No yok"))</f>
        <v/>
      </c>
      <c r="K455" s="25" t="str">
        <f aca="false">IF($A455="","",IFERROR(INDEX(Denetimler!$B:$B,MATCH($A455,Denetimler!$A:$A,0)),"No yok"))</f>
        <v/>
      </c>
    </row>
    <row r="456" customFormat="false" ht="15" hidden="false" customHeight="false" outlineLevel="0" collapsed="false">
      <c r="D456" s="19" t="str">
        <f aca="false">IF($B456="","",IFERROR(INDEX(Madde_Listesi!$C:$C,MATCH($B456,Madde_Listesi!$B:$B,0)),"Kod yok"))</f>
        <v/>
      </c>
      <c r="E456" s="19" t="str">
        <f aca="false">IF($B456="","",IFERROR(INDEX(Madde_Listesi!$D:$D,MATCH($B456,Madde_Listesi!$B:$B,0)),"Kod yok"))</f>
        <v/>
      </c>
      <c r="F456" s="19" t="str">
        <f aca="false">IF($B456="","",IFERROR(INDEX(Madde_Listesi!$E:$E,MATCH($B456,Madde_Listesi!$B:$B,0)),"Kod yok"))</f>
        <v/>
      </c>
      <c r="G456" s="19" t="str">
        <f aca="false">IF($B456="","",IFERROR(INDEX(Madde_Listesi!$F:$F,MATCH($B456,Madde_Listesi!$B:$B,0)),"Kod yok"))</f>
        <v/>
      </c>
      <c r="H456" s="19" t="str">
        <f aca="false">IF($A456="","",IFERROR(INDEX(Denetimler!$C:$C,MATCH($A456,Denetimler!$A:$A,0)),"No yok"))</f>
        <v/>
      </c>
      <c r="I456" s="19" t="str">
        <f aca="false">IF($A456="","",IFERROR(INDEX(Denetimler!$D:$D,MATCH($A456,Denetimler!$A:$A,0)),"No yok"))</f>
        <v/>
      </c>
      <c r="J456" s="19" t="str">
        <f aca="false">IF($A456="","",IFERROR(INDEX(Denetimler!$E:$E,MATCH($A456,Denetimler!$A:$A,0)),"No yok"))</f>
        <v/>
      </c>
      <c r="K456" s="25" t="str">
        <f aca="false">IF($A456="","",IFERROR(INDEX(Denetimler!$B:$B,MATCH($A456,Denetimler!$A:$A,0)),"No yok"))</f>
        <v/>
      </c>
    </row>
    <row r="457" customFormat="false" ht="15" hidden="false" customHeight="false" outlineLevel="0" collapsed="false">
      <c r="D457" s="19" t="str">
        <f aca="false">IF($B457="","",IFERROR(INDEX(Madde_Listesi!$C:$C,MATCH($B457,Madde_Listesi!$B:$B,0)),"Kod yok"))</f>
        <v/>
      </c>
      <c r="E457" s="19" t="str">
        <f aca="false">IF($B457="","",IFERROR(INDEX(Madde_Listesi!$D:$D,MATCH($B457,Madde_Listesi!$B:$B,0)),"Kod yok"))</f>
        <v/>
      </c>
      <c r="F457" s="19" t="str">
        <f aca="false">IF($B457="","",IFERROR(INDEX(Madde_Listesi!$E:$E,MATCH($B457,Madde_Listesi!$B:$B,0)),"Kod yok"))</f>
        <v/>
      </c>
      <c r="G457" s="19" t="str">
        <f aca="false">IF($B457="","",IFERROR(INDEX(Madde_Listesi!$F:$F,MATCH($B457,Madde_Listesi!$B:$B,0)),"Kod yok"))</f>
        <v/>
      </c>
      <c r="H457" s="19" t="str">
        <f aca="false">IF($A457="","",IFERROR(INDEX(Denetimler!$C:$C,MATCH($A457,Denetimler!$A:$A,0)),"No yok"))</f>
        <v/>
      </c>
      <c r="I457" s="19" t="str">
        <f aca="false">IF($A457="","",IFERROR(INDEX(Denetimler!$D:$D,MATCH($A457,Denetimler!$A:$A,0)),"No yok"))</f>
        <v/>
      </c>
      <c r="J457" s="19" t="str">
        <f aca="false">IF($A457="","",IFERROR(INDEX(Denetimler!$E:$E,MATCH($A457,Denetimler!$A:$A,0)),"No yok"))</f>
        <v/>
      </c>
      <c r="K457" s="25" t="str">
        <f aca="false">IF($A457="","",IFERROR(INDEX(Denetimler!$B:$B,MATCH($A457,Denetimler!$A:$A,0)),"No yok"))</f>
        <v/>
      </c>
    </row>
    <row r="458" customFormat="false" ht="15" hidden="false" customHeight="false" outlineLevel="0" collapsed="false">
      <c r="D458" s="19" t="str">
        <f aca="false">IF($B458="","",IFERROR(INDEX(Madde_Listesi!$C:$C,MATCH($B458,Madde_Listesi!$B:$B,0)),"Kod yok"))</f>
        <v/>
      </c>
      <c r="E458" s="19" t="str">
        <f aca="false">IF($B458="","",IFERROR(INDEX(Madde_Listesi!$D:$D,MATCH($B458,Madde_Listesi!$B:$B,0)),"Kod yok"))</f>
        <v/>
      </c>
      <c r="F458" s="19" t="str">
        <f aca="false">IF($B458="","",IFERROR(INDEX(Madde_Listesi!$E:$E,MATCH($B458,Madde_Listesi!$B:$B,0)),"Kod yok"))</f>
        <v/>
      </c>
      <c r="G458" s="19" t="str">
        <f aca="false">IF($B458="","",IFERROR(INDEX(Madde_Listesi!$F:$F,MATCH($B458,Madde_Listesi!$B:$B,0)),"Kod yok"))</f>
        <v/>
      </c>
      <c r="H458" s="19" t="str">
        <f aca="false">IF($A458="","",IFERROR(INDEX(Denetimler!$C:$C,MATCH($A458,Denetimler!$A:$A,0)),"No yok"))</f>
        <v/>
      </c>
      <c r="I458" s="19" t="str">
        <f aca="false">IF($A458="","",IFERROR(INDEX(Denetimler!$D:$D,MATCH($A458,Denetimler!$A:$A,0)),"No yok"))</f>
        <v/>
      </c>
      <c r="J458" s="19" t="str">
        <f aca="false">IF($A458="","",IFERROR(INDEX(Denetimler!$E:$E,MATCH($A458,Denetimler!$A:$A,0)),"No yok"))</f>
        <v/>
      </c>
      <c r="K458" s="25" t="str">
        <f aca="false">IF($A458="","",IFERROR(INDEX(Denetimler!$B:$B,MATCH($A458,Denetimler!$A:$A,0)),"No yok"))</f>
        <v/>
      </c>
    </row>
    <row r="459" customFormat="false" ht="15" hidden="false" customHeight="false" outlineLevel="0" collapsed="false">
      <c r="D459" s="19" t="str">
        <f aca="false">IF($B459="","",IFERROR(INDEX(Madde_Listesi!$C:$C,MATCH($B459,Madde_Listesi!$B:$B,0)),"Kod yok"))</f>
        <v/>
      </c>
      <c r="E459" s="19" t="str">
        <f aca="false">IF($B459="","",IFERROR(INDEX(Madde_Listesi!$D:$D,MATCH($B459,Madde_Listesi!$B:$B,0)),"Kod yok"))</f>
        <v/>
      </c>
      <c r="F459" s="19" t="str">
        <f aca="false">IF($B459="","",IFERROR(INDEX(Madde_Listesi!$E:$E,MATCH($B459,Madde_Listesi!$B:$B,0)),"Kod yok"))</f>
        <v/>
      </c>
      <c r="G459" s="19" t="str">
        <f aca="false">IF($B459="","",IFERROR(INDEX(Madde_Listesi!$F:$F,MATCH($B459,Madde_Listesi!$B:$B,0)),"Kod yok"))</f>
        <v/>
      </c>
      <c r="H459" s="19" t="str">
        <f aca="false">IF($A459="","",IFERROR(INDEX(Denetimler!$C:$C,MATCH($A459,Denetimler!$A:$A,0)),"No yok"))</f>
        <v/>
      </c>
      <c r="I459" s="19" t="str">
        <f aca="false">IF($A459="","",IFERROR(INDEX(Denetimler!$D:$D,MATCH($A459,Denetimler!$A:$A,0)),"No yok"))</f>
        <v/>
      </c>
      <c r="J459" s="19" t="str">
        <f aca="false">IF($A459="","",IFERROR(INDEX(Denetimler!$E:$E,MATCH($A459,Denetimler!$A:$A,0)),"No yok"))</f>
        <v/>
      </c>
      <c r="K459" s="25" t="str">
        <f aca="false">IF($A459="","",IFERROR(INDEX(Denetimler!$B:$B,MATCH($A459,Denetimler!$A:$A,0)),"No yok"))</f>
        <v/>
      </c>
    </row>
    <row r="460" customFormat="false" ht="15" hidden="false" customHeight="false" outlineLevel="0" collapsed="false">
      <c r="D460" s="19" t="str">
        <f aca="false">IF($B460="","",IFERROR(INDEX(Madde_Listesi!$C:$C,MATCH($B460,Madde_Listesi!$B:$B,0)),"Kod yok"))</f>
        <v/>
      </c>
      <c r="E460" s="19" t="str">
        <f aca="false">IF($B460="","",IFERROR(INDEX(Madde_Listesi!$D:$D,MATCH($B460,Madde_Listesi!$B:$B,0)),"Kod yok"))</f>
        <v/>
      </c>
      <c r="F460" s="19" t="str">
        <f aca="false">IF($B460="","",IFERROR(INDEX(Madde_Listesi!$E:$E,MATCH($B460,Madde_Listesi!$B:$B,0)),"Kod yok"))</f>
        <v/>
      </c>
      <c r="G460" s="19" t="str">
        <f aca="false">IF($B460="","",IFERROR(INDEX(Madde_Listesi!$F:$F,MATCH($B460,Madde_Listesi!$B:$B,0)),"Kod yok"))</f>
        <v/>
      </c>
      <c r="H460" s="19" t="str">
        <f aca="false">IF($A460="","",IFERROR(INDEX(Denetimler!$C:$C,MATCH($A460,Denetimler!$A:$A,0)),"No yok"))</f>
        <v/>
      </c>
      <c r="I460" s="19" t="str">
        <f aca="false">IF($A460="","",IFERROR(INDEX(Denetimler!$D:$D,MATCH($A460,Denetimler!$A:$A,0)),"No yok"))</f>
        <v/>
      </c>
      <c r="J460" s="19" t="str">
        <f aca="false">IF($A460="","",IFERROR(INDEX(Denetimler!$E:$E,MATCH($A460,Denetimler!$A:$A,0)),"No yok"))</f>
        <v/>
      </c>
      <c r="K460" s="25" t="str">
        <f aca="false">IF($A460="","",IFERROR(INDEX(Denetimler!$B:$B,MATCH($A460,Denetimler!$A:$A,0)),"No yok"))</f>
        <v/>
      </c>
    </row>
    <row r="461" customFormat="false" ht="15" hidden="false" customHeight="false" outlineLevel="0" collapsed="false">
      <c r="D461" s="19" t="str">
        <f aca="false">IF($B461="","",IFERROR(INDEX(Madde_Listesi!$C:$C,MATCH($B461,Madde_Listesi!$B:$B,0)),"Kod yok"))</f>
        <v/>
      </c>
      <c r="E461" s="19" t="str">
        <f aca="false">IF($B461="","",IFERROR(INDEX(Madde_Listesi!$D:$D,MATCH($B461,Madde_Listesi!$B:$B,0)),"Kod yok"))</f>
        <v/>
      </c>
      <c r="F461" s="19" t="str">
        <f aca="false">IF($B461="","",IFERROR(INDEX(Madde_Listesi!$E:$E,MATCH($B461,Madde_Listesi!$B:$B,0)),"Kod yok"))</f>
        <v/>
      </c>
      <c r="G461" s="19" t="str">
        <f aca="false">IF($B461="","",IFERROR(INDEX(Madde_Listesi!$F:$F,MATCH($B461,Madde_Listesi!$B:$B,0)),"Kod yok"))</f>
        <v/>
      </c>
      <c r="H461" s="19" t="str">
        <f aca="false">IF($A461="","",IFERROR(INDEX(Denetimler!$C:$C,MATCH($A461,Denetimler!$A:$A,0)),"No yok"))</f>
        <v/>
      </c>
      <c r="I461" s="19" t="str">
        <f aca="false">IF($A461="","",IFERROR(INDEX(Denetimler!$D:$D,MATCH($A461,Denetimler!$A:$A,0)),"No yok"))</f>
        <v/>
      </c>
      <c r="J461" s="19" t="str">
        <f aca="false">IF($A461="","",IFERROR(INDEX(Denetimler!$E:$E,MATCH($A461,Denetimler!$A:$A,0)),"No yok"))</f>
        <v/>
      </c>
      <c r="K461" s="25" t="str">
        <f aca="false">IF($A461="","",IFERROR(INDEX(Denetimler!$B:$B,MATCH($A461,Denetimler!$A:$A,0)),"No yok"))</f>
        <v/>
      </c>
    </row>
    <row r="462" customFormat="false" ht="15" hidden="false" customHeight="false" outlineLevel="0" collapsed="false">
      <c r="D462" s="19" t="str">
        <f aca="false">IF($B462="","",IFERROR(INDEX(Madde_Listesi!$C:$C,MATCH($B462,Madde_Listesi!$B:$B,0)),"Kod yok"))</f>
        <v/>
      </c>
      <c r="E462" s="19" t="str">
        <f aca="false">IF($B462="","",IFERROR(INDEX(Madde_Listesi!$D:$D,MATCH($B462,Madde_Listesi!$B:$B,0)),"Kod yok"))</f>
        <v/>
      </c>
      <c r="F462" s="19" t="str">
        <f aca="false">IF($B462="","",IFERROR(INDEX(Madde_Listesi!$E:$E,MATCH($B462,Madde_Listesi!$B:$B,0)),"Kod yok"))</f>
        <v/>
      </c>
      <c r="G462" s="19" t="str">
        <f aca="false">IF($B462="","",IFERROR(INDEX(Madde_Listesi!$F:$F,MATCH($B462,Madde_Listesi!$B:$B,0)),"Kod yok"))</f>
        <v/>
      </c>
      <c r="H462" s="19" t="str">
        <f aca="false">IF($A462="","",IFERROR(INDEX(Denetimler!$C:$C,MATCH($A462,Denetimler!$A:$A,0)),"No yok"))</f>
        <v/>
      </c>
      <c r="I462" s="19" t="str">
        <f aca="false">IF($A462="","",IFERROR(INDEX(Denetimler!$D:$D,MATCH($A462,Denetimler!$A:$A,0)),"No yok"))</f>
        <v/>
      </c>
      <c r="J462" s="19" t="str">
        <f aca="false">IF($A462="","",IFERROR(INDEX(Denetimler!$E:$E,MATCH($A462,Denetimler!$A:$A,0)),"No yok"))</f>
        <v/>
      </c>
      <c r="K462" s="25" t="str">
        <f aca="false">IF($A462="","",IFERROR(INDEX(Denetimler!$B:$B,MATCH($A462,Denetimler!$A:$A,0)),"No yok"))</f>
        <v/>
      </c>
    </row>
    <row r="463" customFormat="false" ht="15" hidden="false" customHeight="false" outlineLevel="0" collapsed="false">
      <c r="D463" s="19" t="str">
        <f aca="false">IF($B463="","",IFERROR(INDEX(Madde_Listesi!$C:$C,MATCH($B463,Madde_Listesi!$B:$B,0)),"Kod yok"))</f>
        <v/>
      </c>
      <c r="E463" s="19" t="str">
        <f aca="false">IF($B463="","",IFERROR(INDEX(Madde_Listesi!$D:$D,MATCH($B463,Madde_Listesi!$B:$B,0)),"Kod yok"))</f>
        <v/>
      </c>
      <c r="F463" s="19" t="str">
        <f aca="false">IF($B463="","",IFERROR(INDEX(Madde_Listesi!$E:$E,MATCH($B463,Madde_Listesi!$B:$B,0)),"Kod yok"))</f>
        <v/>
      </c>
      <c r="G463" s="19" t="str">
        <f aca="false">IF($B463="","",IFERROR(INDEX(Madde_Listesi!$F:$F,MATCH($B463,Madde_Listesi!$B:$B,0)),"Kod yok"))</f>
        <v/>
      </c>
      <c r="H463" s="19" t="str">
        <f aca="false">IF($A463="","",IFERROR(INDEX(Denetimler!$C:$C,MATCH($A463,Denetimler!$A:$A,0)),"No yok"))</f>
        <v/>
      </c>
      <c r="I463" s="19" t="str">
        <f aca="false">IF($A463="","",IFERROR(INDEX(Denetimler!$D:$D,MATCH($A463,Denetimler!$A:$A,0)),"No yok"))</f>
        <v/>
      </c>
      <c r="J463" s="19" t="str">
        <f aca="false">IF($A463="","",IFERROR(INDEX(Denetimler!$E:$E,MATCH($A463,Denetimler!$A:$A,0)),"No yok"))</f>
        <v/>
      </c>
      <c r="K463" s="25" t="str">
        <f aca="false">IF($A463="","",IFERROR(INDEX(Denetimler!$B:$B,MATCH($A463,Denetimler!$A:$A,0)),"No yok"))</f>
        <v/>
      </c>
    </row>
    <row r="464" customFormat="false" ht="15" hidden="false" customHeight="false" outlineLevel="0" collapsed="false">
      <c r="D464" s="19" t="str">
        <f aca="false">IF($B464="","",IFERROR(INDEX(Madde_Listesi!$C:$C,MATCH($B464,Madde_Listesi!$B:$B,0)),"Kod yok"))</f>
        <v/>
      </c>
      <c r="E464" s="19" t="str">
        <f aca="false">IF($B464="","",IFERROR(INDEX(Madde_Listesi!$D:$D,MATCH($B464,Madde_Listesi!$B:$B,0)),"Kod yok"))</f>
        <v/>
      </c>
      <c r="F464" s="19" t="str">
        <f aca="false">IF($B464="","",IFERROR(INDEX(Madde_Listesi!$E:$E,MATCH($B464,Madde_Listesi!$B:$B,0)),"Kod yok"))</f>
        <v/>
      </c>
      <c r="G464" s="19" t="str">
        <f aca="false">IF($B464="","",IFERROR(INDEX(Madde_Listesi!$F:$F,MATCH($B464,Madde_Listesi!$B:$B,0)),"Kod yok"))</f>
        <v/>
      </c>
      <c r="H464" s="19" t="str">
        <f aca="false">IF($A464="","",IFERROR(INDEX(Denetimler!$C:$C,MATCH($A464,Denetimler!$A:$A,0)),"No yok"))</f>
        <v/>
      </c>
      <c r="I464" s="19" t="str">
        <f aca="false">IF($A464="","",IFERROR(INDEX(Denetimler!$D:$D,MATCH($A464,Denetimler!$A:$A,0)),"No yok"))</f>
        <v/>
      </c>
      <c r="J464" s="19" t="str">
        <f aca="false">IF($A464="","",IFERROR(INDEX(Denetimler!$E:$E,MATCH($A464,Denetimler!$A:$A,0)),"No yok"))</f>
        <v/>
      </c>
      <c r="K464" s="25" t="str">
        <f aca="false">IF($A464="","",IFERROR(INDEX(Denetimler!$B:$B,MATCH($A464,Denetimler!$A:$A,0)),"No yok"))</f>
        <v/>
      </c>
    </row>
    <row r="465" customFormat="false" ht="15" hidden="false" customHeight="false" outlineLevel="0" collapsed="false">
      <c r="D465" s="19" t="str">
        <f aca="false">IF($B465="","",IFERROR(INDEX(Madde_Listesi!$C:$C,MATCH($B465,Madde_Listesi!$B:$B,0)),"Kod yok"))</f>
        <v/>
      </c>
      <c r="E465" s="19" t="str">
        <f aca="false">IF($B465="","",IFERROR(INDEX(Madde_Listesi!$D:$D,MATCH($B465,Madde_Listesi!$B:$B,0)),"Kod yok"))</f>
        <v/>
      </c>
      <c r="F465" s="19" t="str">
        <f aca="false">IF($B465="","",IFERROR(INDEX(Madde_Listesi!$E:$E,MATCH($B465,Madde_Listesi!$B:$B,0)),"Kod yok"))</f>
        <v/>
      </c>
      <c r="G465" s="19" t="str">
        <f aca="false">IF($B465="","",IFERROR(INDEX(Madde_Listesi!$F:$F,MATCH($B465,Madde_Listesi!$B:$B,0)),"Kod yok"))</f>
        <v/>
      </c>
      <c r="H465" s="19" t="str">
        <f aca="false">IF($A465="","",IFERROR(INDEX(Denetimler!$C:$C,MATCH($A465,Denetimler!$A:$A,0)),"No yok"))</f>
        <v/>
      </c>
      <c r="I465" s="19" t="str">
        <f aca="false">IF($A465="","",IFERROR(INDEX(Denetimler!$D:$D,MATCH($A465,Denetimler!$A:$A,0)),"No yok"))</f>
        <v/>
      </c>
      <c r="J465" s="19" t="str">
        <f aca="false">IF($A465="","",IFERROR(INDEX(Denetimler!$E:$E,MATCH($A465,Denetimler!$A:$A,0)),"No yok"))</f>
        <v/>
      </c>
      <c r="K465" s="25" t="str">
        <f aca="false">IF($A465="","",IFERROR(INDEX(Denetimler!$B:$B,MATCH($A465,Denetimler!$A:$A,0)),"No yok"))</f>
        <v/>
      </c>
    </row>
    <row r="466" customFormat="false" ht="15" hidden="false" customHeight="false" outlineLevel="0" collapsed="false">
      <c r="D466" s="19" t="str">
        <f aca="false">IF($B466="","",IFERROR(INDEX(Madde_Listesi!$C:$C,MATCH($B466,Madde_Listesi!$B:$B,0)),"Kod yok"))</f>
        <v/>
      </c>
      <c r="E466" s="19" t="str">
        <f aca="false">IF($B466="","",IFERROR(INDEX(Madde_Listesi!$D:$D,MATCH($B466,Madde_Listesi!$B:$B,0)),"Kod yok"))</f>
        <v/>
      </c>
      <c r="F466" s="19" t="str">
        <f aca="false">IF($B466="","",IFERROR(INDEX(Madde_Listesi!$E:$E,MATCH($B466,Madde_Listesi!$B:$B,0)),"Kod yok"))</f>
        <v/>
      </c>
      <c r="G466" s="19" t="str">
        <f aca="false">IF($B466="","",IFERROR(INDEX(Madde_Listesi!$F:$F,MATCH($B466,Madde_Listesi!$B:$B,0)),"Kod yok"))</f>
        <v/>
      </c>
      <c r="H466" s="19" t="str">
        <f aca="false">IF($A466="","",IFERROR(INDEX(Denetimler!$C:$C,MATCH($A466,Denetimler!$A:$A,0)),"No yok"))</f>
        <v/>
      </c>
      <c r="I466" s="19" t="str">
        <f aca="false">IF($A466="","",IFERROR(INDEX(Denetimler!$D:$D,MATCH($A466,Denetimler!$A:$A,0)),"No yok"))</f>
        <v/>
      </c>
      <c r="J466" s="19" t="str">
        <f aca="false">IF($A466="","",IFERROR(INDEX(Denetimler!$E:$E,MATCH($A466,Denetimler!$A:$A,0)),"No yok"))</f>
        <v/>
      </c>
      <c r="K466" s="25" t="str">
        <f aca="false">IF($A466="","",IFERROR(INDEX(Denetimler!$B:$B,MATCH($A466,Denetimler!$A:$A,0)),"No yok"))</f>
        <v/>
      </c>
    </row>
    <row r="467" customFormat="false" ht="15" hidden="false" customHeight="false" outlineLevel="0" collapsed="false">
      <c r="D467" s="19" t="str">
        <f aca="false">IF($B467="","",IFERROR(INDEX(Madde_Listesi!$C:$C,MATCH($B467,Madde_Listesi!$B:$B,0)),"Kod yok"))</f>
        <v/>
      </c>
      <c r="E467" s="19" t="str">
        <f aca="false">IF($B467="","",IFERROR(INDEX(Madde_Listesi!$D:$D,MATCH($B467,Madde_Listesi!$B:$B,0)),"Kod yok"))</f>
        <v/>
      </c>
      <c r="F467" s="19" t="str">
        <f aca="false">IF($B467="","",IFERROR(INDEX(Madde_Listesi!$E:$E,MATCH($B467,Madde_Listesi!$B:$B,0)),"Kod yok"))</f>
        <v/>
      </c>
      <c r="G467" s="19" t="str">
        <f aca="false">IF($B467="","",IFERROR(INDEX(Madde_Listesi!$F:$F,MATCH($B467,Madde_Listesi!$B:$B,0)),"Kod yok"))</f>
        <v/>
      </c>
      <c r="H467" s="19" t="str">
        <f aca="false">IF($A467="","",IFERROR(INDEX(Denetimler!$C:$C,MATCH($A467,Denetimler!$A:$A,0)),"No yok"))</f>
        <v/>
      </c>
      <c r="I467" s="19" t="str">
        <f aca="false">IF($A467="","",IFERROR(INDEX(Denetimler!$D:$D,MATCH($A467,Denetimler!$A:$A,0)),"No yok"))</f>
        <v/>
      </c>
      <c r="J467" s="19" t="str">
        <f aca="false">IF($A467="","",IFERROR(INDEX(Denetimler!$E:$E,MATCH($A467,Denetimler!$A:$A,0)),"No yok"))</f>
        <v/>
      </c>
      <c r="K467" s="25" t="str">
        <f aca="false">IF($A467="","",IFERROR(INDEX(Denetimler!$B:$B,MATCH($A467,Denetimler!$A:$A,0)),"No yok"))</f>
        <v/>
      </c>
    </row>
    <row r="468" customFormat="false" ht="15" hidden="false" customHeight="false" outlineLevel="0" collapsed="false">
      <c r="D468" s="19" t="str">
        <f aca="false">IF($B468="","",IFERROR(INDEX(Madde_Listesi!$C:$C,MATCH($B468,Madde_Listesi!$B:$B,0)),"Kod yok"))</f>
        <v/>
      </c>
      <c r="E468" s="19" t="str">
        <f aca="false">IF($B468="","",IFERROR(INDEX(Madde_Listesi!$D:$D,MATCH($B468,Madde_Listesi!$B:$B,0)),"Kod yok"))</f>
        <v/>
      </c>
      <c r="F468" s="19" t="str">
        <f aca="false">IF($B468="","",IFERROR(INDEX(Madde_Listesi!$E:$E,MATCH($B468,Madde_Listesi!$B:$B,0)),"Kod yok"))</f>
        <v/>
      </c>
      <c r="G468" s="19" t="str">
        <f aca="false">IF($B468="","",IFERROR(INDEX(Madde_Listesi!$F:$F,MATCH($B468,Madde_Listesi!$B:$B,0)),"Kod yok"))</f>
        <v/>
      </c>
      <c r="H468" s="19" t="str">
        <f aca="false">IF($A468="","",IFERROR(INDEX(Denetimler!$C:$C,MATCH($A468,Denetimler!$A:$A,0)),"No yok"))</f>
        <v/>
      </c>
      <c r="I468" s="19" t="str">
        <f aca="false">IF($A468="","",IFERROR(INDEX(Denetimler!$D:$D,MATCH($A468,Denetimler!$A:$A,0)),"No yok"))</f>
        <v/>
      </c>
      <c r="J468" s="19" t="str">
        <f aca="false">IF($A468="","",IFERROR(INDEX(Denetimler!$E:$E,MATCH($A468,Denetimler!$A:$A,0)),"No yok"))</f>
        <v/>
      </c>
      <c r="K468" s="25" t="str">
        <f aca="false">IF($A468="","",IFERROR(INDEX(Denetimler!$B:$B,MATCH($A468,Denetimler!$A:$A,0)),"No yok"))</f>
        <v/>
      </c>
    </row>
    <row r="469" customFormat="false" ht="15" hidden="false" customHeight="false" outlineLevel="0" collapsed="false">
      <c r="D469" s="19" t="str">
        <f aca="false">IF($B469="","",IFERROR(INDEX(Madde_Listesi!$C:$C,MATCH($B469,Madde_Listesi!$B:$B,0)),"Kod yok"))</f>
        <v/>
      </c>
      <c r="E469" s="19" t="str">
        <f aca="false">IF($B469="","",IFERROR(INDEX(Madde_Listesi!$D:$D,MATCH($B469,Madde_Listesi!$B:$B,0)),"Kod yok"))</f>
        <v/>
      </c>
      <c r="F469" s="19" t="str">
        <f aca="false">IF($B469="","",IFERROR(INDEX(Madde_Listesi!$E:$E,MATCH($B469,Madde_Listesi!$B:$B,0)),"Kod yok"))</f>
        <v/>
      </c>
      <c r="G469" s="19" t="str">
        <f aca="false">IF($B469="","",IFERROR(INDEX(Madde_Listesi!$F:$F,MATCH($B469,Madde_Listesi!$B:$B,0)),"Kod yok"))</f>
        <v/>
      </c>
      <c r="H469" s="19" t="str">
        <f aca="false">IF($A469="","",IFERROR(INDEX(Denetimler!$C:$C,MATCH($A469,Denetimler!$A:$A,0)),"No yok"))</f>
        <v/>
      </c>
      <c r="I469" s="19" t="str">
        <f aca="false">IF($A469="","",IFERROR(INDEX(Denetimler!$D:$D,MATCH($A469,Denetimler!$A:$A,0)),"No yok"))</f>
        <v/>
      </c>
      <c r="J469" s="19" t="str">
        <f aca="false">IF($A469="","",IFERROR(INDEX(Denetimler!$E:$E,MATCH($A469,Denetimler!$A:$A,0)),"No yok"))</f>
        <v/>
      </c>
      <c r="K469" s="25" t="str">
        <f aca="false">IF($A469="","",IFERROR(INDEX(Denetimler!$B:$B,MATCH($A469,Denetimler!$A:$A,0)),"No yok"))</f>
        <v/>
      </c>
    </row>
    <row r="470" customFormat="false" ht="15" hidden="false" customHeight="false" outlineLevel="0" collapsed="false">
      <c r="D470" s="19" t="str">
        <f aca="false">IF($B470="","",IFERROR(INDEX(Madde_Listesi!$C:$C,MATCH($B470,Madde_Listesi!$B:$B,0)),"Kod yok"))</f>
        <v/>
      </c>
      <c r="E470" s="19" t="str">
        <f aca="false">IF($B470="","",IFERROR(INDEX(Madde_Listesi!$D:$D,MATCH($B470,Madde_Listesi!$B:$B,0)),"Kod yok"))</f>
        <v/>
      </c>
      <c r="F470" s="19" t="str">
        <f aca="false">IF($B470="","",IFERROR(INDEX(Madde_Listesi!$E:$E,MATCH($B470,Madde_Listesi!$B:$B,0)),"Kod yok"))</f>
        <v/>
      </c>
      <c r="G470" s="19" t="str">
        <f aca="false">IF($B470="","",IFERROR(INDEX(Madde_Listesi!$F:$F,MATCH($B470,Madde_Listesi!$B:$B,0)),"Kod yok"))</f>
        <v/>
      </c>
      <c r="H470" s="19" t="str">
        <f aca="false">IF($A470="","",IFERROR(INDEX(Denetimler!$C:$C,MATCH($A470,Denetimler!$A:$A,0)),"No yok"))</f>
        <v/>
      </c>
      <c r="I470" s="19" t="str">
        <f aca="false">IF($A470="","",IFERROR(INDEX(Denetimler!$D:$D,MATCH($A470,Denetimler!$A:$A,0)),"No yok"))</f>
        <v/>
      </c>
      <c r="J470" s="19" t="str">
        <f aca="false">IF($A470="","",IFERROR(INDEX(Denetimler!$E:$E,MATCH($A470,Denetimler!$A:$A,0)),"No yok"))</f>
        <v/>
      </c>
      <c r="K470" s="25" t="str">
        <f aca="false">IF($A470="","",IFERROR(INDEX(Denetimler!$B:$B,MATCH($A470,Denetimler!$A:$A,0)),"No yok"))</f>
        <v/>
      </c>
    </row>
    <row r="471" customFormat="false" ht="15" hidden="false" customHeight="false" outlineLevel="0" collapsed="false">
      <c r="D471" s="19" t="str">
        <f aca="false">IF($B471="","",IFERROR(INDEX(Madde_Listesi!$C:$C,MATCH($B471,Madde_Listesi!$B:$B,0)),"Kod yok"))</f>
        <v/>
      </c>
      <c r="E471" s="19" t="str">
        <f aca="false">IF($B471="","",IFERROR(INDEX(Madde_Listesi!$D:$D,MATCH($B471,Madde_Listesi!$B:$B,0)),"Kod yok"))</f>
        <v/>
      </c>
      <c r="F471" s="19" t="str">
        <f aca="false">IF($B471="","",IFERROR(INDEX(Madde_Listesi!$E:$E,MATCH($B471,Madde_Listesi!$B:$B,0)),"Kod yok"))</f>
        <v/>
      </c>
      <c r="G471" s="19" t="str">
        <f aca="false">IF($B471="","",IFERROR(INDEX(Madde_Listesi!$F:$F,MATCH($B471,Madde_Listesi!$B:$B,0)),"Kod yok"))</f>
        <v/>
      </c>
      <c r="H471" s="19" t="str">
        <f aca="false">IF($A471="","",IFERROR(INDEX(Denetimler!$C:$C,MATCH($A471,Denetimler!$A:$A,0)),"No yok"))</f>
        <v/>
      </c>
      <c r="I471" s="19" t="str">
        <f aca="false">IF($A471="","",IFERROR(INDEX(Denetimler!$D:$D,MATCH($A471,Denetimler!$A:$A,0)),"No yok"))</f>
        <v/>
      </c>
      <c r="J471" s="19" t="str">
        <f aca="false">IF($A471="","",IFERROR(INDEX(Denetimler!$E:$E,MATCH($A471,Denetimler!$A:$A,0)),"No yok"))</f>
        <v/>
      </c>
      <c r="K471" s="25" t="str">
        <f aca="false">IF($A471="","",IFERROR(INDEX(Denetimler!$B:$B,MATCH($A471,Denetimler!$A:$A,0)),"No yok"))</f>
        <v/>
      </c>
    </row>
    <row r="472" customFormat="false" ht="15" hidden="false" customHeight="false" outlineLevel="0" collapsed="false">
      <c r="D472" s="19" t="str">
        <f aca="false">IF($B472="","",IFERROR(INDEX(Madde_Listesi!$C:$C,MATCH($B472,Madde_Listesi!$B:$B,0)),"Kod yok"))</f>
        <v/>
      </c>
      <c r="E472" s="19" t="str">
        <f aca="false">IF($B472="","",IFERROR(INDEX(Madde_Listesi!$D:$D,MATCH($B472,Madde_Listesi!$B:$B,0)),"Kod yok"))</f>
        <v/>
      </c>
      <c r="F472" s="19" t="str">
        <f aca="false">IF($B472="","",IFERROR(INDEX(Madde_Listesi!$E:$E,MATCH($B472,Madde_Listesi!$B:$B,0)),"Kod yok"))</f>
        <v/>
      </c>
      <c r="G472" s="19" t="str">
        <f aca="false">IF($B472="","",IFERROR(INDEX(Madde_Listesi!$F:$F,MATCH($B472,Madde_Listesi!$B:$B,0)),"Kod yok"))</f>
        <v/>
      </c>
      <c r="H472" s="19" t="str">
        <f aca="false">IF($A472="","",IFERROR(INDEX(Denetimler!$C:$C,MATCH($A472,Denetimler!$A:$A,0)),"No yok"))</f>
        <v/>
      </c>
      <c r="I472" s="19" t="str">
        <f aca="false">IF($A472="","",IFERROR(INDEX(Denetimler!$D:$D,MATCH($A472,Denetimler!$A:$A,0)),"No yok"))</f>
        <v/>
      </c>
      <c r="J472" s="19" t="str">
        <f aca="false">IF($A472="","",IFERROR(INDEX(Denetimler!$E:$E,MATCH($A472,Denetimler!$A:$A,0)),"No yok"))</f>
        <v/>
      </c>
      <c r="K472" s="25" t="str">
        <f aca="false">IF($A472="","",IFERROR(INDEX(Denetimler!$B:$B,MATCH($A472,Denetimler!$A:$A,0)),"No yok"))</f>
        <v/>
      </c>
    </row>
    <row r="473" customFormat="false" ht="15" hidden="false" customHeight="false" outlineLevel="0" collapsed="false">
      <c r="D473" s="19" t="str">
        <f aca="false">IF($B473="","",IFERROR(INDEX(Madde_Listesi!$C:$C,MATCH($B473,Madde_Listesi!$B:$B,0)),"Kod yok"))</f>
        <v/>
      </c>
      <c r="E473" s="19" t="str">
        <f aca="false">IF($B473="","",IFERROR(INDEX(Madde_Listesi!$D:$D,MATCH($B473,Madde_Listesi!$B:$B,0)),"Kod yok"))</f>
        <v/>
      </c>
      <c r="F473" s="19" t="str">
        <f aca="false">IF($B473="","",IFERROR(INDEX(Madde_Listesi!$E:$E,MATCH($B473,Madde_Listesi!$B:$B,0)),"Kod yok"))</f>
        <v/>
      </c>
      <c r="G473" s="19" t="str">
        <f aca="false">IF($B473="","",IFERROR(INDEX(Madde_Listesi!$F:$F,MATCH($B473,Madde_Listesi!$B:$B,0)),"Kod yok"))</f>
        <v/>
      </c>
      <c r="H473" s="19" t="str">
        <f aca="false">IF($A473="","",IFERROR(INDEX(Denetimler!$C:$C,MATCH($A473,Denetimler!$A:$A,0)),"No yok"))</f>
        <v/>
      </c>
      <c r="I473" s="19" t="str">
        <f aca="false">IF($A473="","",IFERROR(INDEX(Denetimler!$D:$D,MATCH($A473,Denetimler!$A:$A,0)),"No yok"))</f>
        <v/>
      </c>
      <c r="J473" s="19" t="str">
        <f aca="false">IF($A473="","",IFERROR(INDEX(Denetimler!$E:$E,MATCH($A473,Denetimler!$A:$A,0)),"No yok"))</f>
        <v/>
      </c>
      <c r="K473" s="25" t="str">
        <f aca="false">IF($A473="","",IFERROR(INDEX(Denetimler!$B:$B,MATCH($A473,Denetimler!$A:$A,0)),"No yok"))</f>
        <v/>
      </c>
    </row>
    <row r="474" customFormat="false" ht="15" hidden="false" customHeight="false" outlineLevel="0" collapsed="false">
      <c r="D474" s="19" t="str">
        <f aca="false">IF($B474="","",IFERROR(INDEX(Madde_Listesi!$C:$C,MATCH($B474,Madde_Listesi!$B:$B,0)),"Kod yok"))</f>
        <v/>
      </c>
      <c r="E474" s="19" t="str">
        <f aca="false">IF($B474="","",IFERROR(INDEX(Madde_Listesi!$D:$D,MATCH($B474,Madde_Listesi!$B:$B,0)),"Kod yok"))</f>
        <v/>
      </c>
      <c r="F474" s="19" t="str">
        <f aca="false">IF($B474="","",IFERROR(INDEX(Madde_Listesi!$E:$E,MATCH($B474,Madde_Listesi!$B:$B,0)),"Kod yok"))</f>
        <v/>
      </c>
      <c r="G474" s="19" t="str">
        <f aca="false">IF($B474="","",IFERROR(INDEX(Madde_Listesi!$F:$F,MATCH($B474,Madde_Listesi!$B:$B,0)),"Kod yok"))</f>
        <v/>
      </c>
      <c r="H474" s="19" t="str">
        <f aca="false">IF($A474="","",IFERROR(INDEX(Denetimler!$C:$C,MATCH($A474,Denetimler!$A:$A,0)),"No yok"))</f>
        <v/>
      </c>
      <c r="I474" s="19" t="str">
        <f aca="false">IF($A474="","",IFERROR(INDEX(Denetimler!$D:$D,MATCH($A474,Denetimler!$A:$A,0)),"No yok"))</f>
        <v/>
      </c>
      <c r="J474" s="19" t="str">
        <f aca="false">IF($A474="","",IFERROR(INDEX(Denetimler!$E:$E,MATCH($A474,Denetimler!$A:$A,0)),"No yok"))</f>
        <v/>
      </c>
      <c r="K474" s="25" t="str">
        <f aca="false">IF($A474="","",IFERROR(INDEX(Denetimler!$B:$B,MATCH($A474,Denetimler!$A:$A,0)),"No yok"))</f>
        <v/>
      </c>
    </row>
    <row r="475" customFormat="false" ht="15" hidden="false" customHeight="false" outlineLevel="0" collapsed="false">
      <c r="D475" s="19" t="str">
        <f aca="false">IF($B475="","",IFERROR(INDEX(Madde_Listesi!$C:$C,MATCH($B475,Madde_Listesi!$B:$B,0)),"Kod yok"))</f>
        <v/>
      </c>
      <c r="E475" s="19" t="str">
        <f aca="false">IF($B475="","",IFERROR(INDEX(Madde_Listesi!$D:$D,MATCH($B475,Madde_Listesi!$B:$B,0)),"Kod yok"))</f>
        <v/>
      </c>
      <c r="F475" s="19" t="str">
        <f aca="false">IF($B475="","",IFERROR(INDEX(Madde_Listesi!$E:$E,MATCH($B475,Madde_Listesi!$B:$B,0)),"Kod yok"))</f>
        <v/>
      </c>
      <c r="G475" s="19" t="str">
        <f aca="false">IF($B475="","",IFERROR(INDEX(Madde_Listesi!$F:$F,MATCH($B475,Madde_Listesi!$B:$B,0)),"Kod yok"))</f>
        <v/>
      </c>
      <c r="H475" s="19" t="str">
        <f aca="false">IF($A475="","",IFERROR(INDEX(Denetimler!$C:$C,MATCH($A475,Denetimler!$A:$A,0)),"No yok"))</f>
        <v/>
      </c>
      <c r="I475" s="19" t="str">
        <f aca="false">IF($A475="","",IFERROR(INDEX(Denetimler!$D:$D,MATCH($A475,Denetimler!$A:$A,0)),"No yok"))</f>
        <v/>
      </c>
      <c r="J475" s="19" t="str">
        <f aca="false">IF($A475="","",IFERROR(INDEX(Denetimler!$E:$E,MATCH($A475,Denetimler!$A:$A,0)),"No yok"))</f>
        <v/>
      </c>
      <c r="K475" s="25" t="str">
        <f aca="false">IF($A475="","",IFERROR(INDEX(Denetimler!$B:$B,MATCH($A475,Denetimler!$A:$A,0)),"No yok"))</f>
        <v/>
      </c>
    </row>
    <row r="476" customFormat="false" ht="15" hidden="false" customHeight="false" outlineLevel="0" collapsed="false">
      <c r="D476" s="19" t="str">
        <f aca="false">IF($B476="","",IFERROR(INDEX(Madde_Listesi!$C:$C,MATCH($B476,Madde_Listesi!$B:$B,0)),"Kod yok"))</f>
        <v/>
      </c>
      <c r="E476" s="19" t="str">
        <f aca="false">IF($B476="","",IFERROR(INDEX(Madde_Listesi!$D:$D,MATCH($B476,Madde_Listesi!$B:$B,0)),"Kod yok"))</f>
        <v/>
      </c>
      <c r="F476" s="19" t="str">
        <f aca="false">IF($B476="","",IFERROR(INDEX(Madde_Listesi!$E:$E,MATCH($B476,Madde_Listesi!$B:$B,0)),"Kod yok"))</f>
        <v/>
      </c>
      <c r="G476" s="19" t="str">
        <f aca="false">IF($B476="","",IFERROR(INDEX(Madde_Listesi!$F:$F,MATCH($B476,Madde_Listesi!$B:$B,0)),"Kod yok"))</f>
        <v/>
      </c>
      <c r="H476" s="19" t="str">
        <f aca="false">IF($A476="","",IFERROR(INDEX(Denetimler!$C:$C,MATCH($A476,Denetimler!$A:$A,0)),"No yok"))</f>
        <v/>
      </c>
      <c r="I476" s="19" t="str">
        <f aca="false">IF($A476="","",IFERROR(INDEX(Denetimler!$D:$D,MATCH($A476,Denetimler!$A:$A,0)),"No yok"))</f>
        <v/>
      </c>
      <c r="J476" s="19" t="str">
        <f aca="false">IF($A476="","",IFERROR(INDEX(Denetimler!$E:$E,MATCH($A476,Denetimler!$A:$A,0)),"No yok"))</f>
        <v/>
      </c>
      <c r="K476" s="25" t="str">
        <f aca="false">IF($A476="","",IFERROR(INDEX(Denetimler!$B:$B,MATCH($A476,Denetimler!$A:$A,0)),"No yok"))</f>
        <v/>
      </c>
    </row>
    <row r="477" customFormat="false" ht="15" hidden="false" customHeight="false" outlineLevel="0" collapsed="false">
      <c r="D477" s="19" t="str">
        <f aca="false">IF($B477="","",IFERROR(INDEX(Madde_Listesi!$C:$C,MATCH($B477,Madde_Listesi!$B:$B,0)),"Kod yok"))</f>
        <v/>
      </c>
      <c r="E477" s="19" t="str">
        <f aca="false">IF($B477="","",IFERROR(INDEX(Madde_Listesi!$D:$D,MATCH($B477,Madde_Listesi!$B:$B,0)),"Kod yok"))</f>
        <v/>
      </c>
      <c r="F477" s="19" t="str">
        <f aca="false">IF($B477="","",IFERROR(INDEX(Madde_Listesi!$E:$E,MATCH($B477,Madde_Listesi!$B:$B,0)),"Kod yok"))</f>
        <v/>
      </c>
      <c r="G477" s="19" t="str">
        <f aca="false">IF($B477="","",IFERROR(INDEX(Madde_Listesi!$F:$F,MATCH($B477,Madde_Listesi!$B:$B,0)),"Kod yok"))</f>
        <v/>
      </c>
      <c r="H477" s="19" t="str">
        <f aca="false">IF($A477="","",IFERROR(INDEX(Denetimler!$C:$C,MATCH($A477,Denetimler!$A:$A,0)),"No yok"))</f>
        <v/>
      </c>
      <c r="I477" s="19" t="str">
        <f aca="false">IF($A477="","",IFERROR(INDEX(Denetimler!$D:$D,MATCH($A477,Denetimler!$A:$A,0)),"No yok"))</f>
        <v/>
      </c>
      <c r="J477" s="19" t="str">
        <f aca="false">IF($A477="","",IFERROR(INDEX(Denetimler!$E:$E,MATCH($A477,Denetimler!$A:$A,0)),"No yok"))</f>
        <v/>
      </c>
      <c r="K477" s="25" t="str">
        <f aca="false">IF($A477="","",IFERROR(INDEX(Denetimler!$B:$B,MATCH($A477,Denetimler!$A:$A,0)),"No yok"))</f>
        <v/>
      </c>
    </row>
    <row r="478" customFormat="false" ht="15" hidden="false" customHeight="false" outlineLevel="0" collapsed="false">
      <c r="D478" s="19" t="str">
        <f aca="false">IF($B478="","",IFERROR(INDEX(Madde_Listesi!$C:$C,MATCH($B478,Madde_Listesi!$B:$B,0)),"Kod yok"))</f>
        <v/>
      </c>
      <c r="E478" s="19" t="str">
        <f aca="false">IF($B478="","",IFERROR(INDEX(Madde_Listesi!$D:$D,MATCH($B478,Madde_Listesi!$B:$B,0)),"Kod yok"))</f>
        <v/>
      </c>
      <c r="F478" s="19" t="str">
        <f aca="false">IF($B478="","",IFERROR(INDEX(Madde_Listesi!$E:$E,MATCH($B478,Madde_Listesi!$B:$B,0)),"Kod yok"))</f>
        <v/>
      </c>
      <c r="G478" s="19" t="str">
        <f aca="false">IF($B478="","",IFERROR(INDEX(Madde_Listesi!$F:$F,MATCH($B478,Madde_Listesi!$B:$B,0)),"Kod yok"))</f>
        <v/>
      </c>
      <c r="H478" s="19" t="str">
        <f aca="false">IF($A478="","",IFERROR(INDEX(Denetimler!$C:$C,MATCH($A478,Denetimler!$A:$A,0)),"No yok"))</f>
        <v/>
      </c>
      <c r="I478" s="19" t="str">
        <f aca="false">IF($A478="","",IFERROR(INDEX(Denetimler!$D:$D,MATCH($A478,Denetimler!$A:$A,0)),"No yok"))</f>
        <v/>
      </c>
      <c r="J478" s="19" t="str">
        <f aca="false">IF($A478="","",IFERROR(INDEX(Denetimler!$E:$E,MATCH($A478,Denetimler!$A:$A,0)),"No yok"))</f>
        <v/>
      </c>
      <c r="K478" s="25" t="str">
        <f aca="false">IF($A478="","",IFERROR(INDEX(Denetimler!$B:$B,MATCH($A478,Denetimler!$A:$A,0)),"No yok"))</f>
        <v/>
      </c>
    </row>
    <row r="479" customFormat="false" ht="15" hidden="false" customHeight="false" outlineLevel="0" collapsed="false">
      <c r="D479" s="19" t="str">
        <f aca="false">IF($B479="","",IFERROR(INDEX(Madde_Listesi!$C:$C,MATCH($B479,Madde_Listesi!$B:$B,0)),"Kod yok"))</f>
        <v/>
      </c>
      <c r="E479" s="19" t="str">
        <f aca="false">IF($B479="","",IFERROR(INDEX(Madde_Listesi!$D:$D,MATCH($B479,Madde_Listesi!$B:$B,0)),"Kod yok"))</f>
        <v/>
      </c>
      <c r="F479" s="19" t="str">
        <f aca="false">IF($B479="","",IFERROR(INDEX(Madde_Listesi!$E:$E,MATCH($B479,Madde_Listesi!$B:$B,0)),"Kod yok"))</f>
        <v/>
      </c>
      <c r="G479" s="19" t="str">
        <f aca="false">IF($B479="","",IFERROR(INDEX(Madde_Listesi!$F:$F,MATCH($B479,Madde_Listesi!$B:$B,0)),"Kod yok"))</f>
        <v/>
      </c>
      <c r="H479" s="19" t="str">
        <f aca="false">IF($A479="","",IFERROR(INDEX(Denetimler!$C:$C,MATCH($A479,Denetimler!$A:$A,0)),"No yok"))</f>
        <v/>
      </c>
      <c r="I479" s="19" t="str">
        <f aca="false">IF($A479="","",IFERROR(INDEX(Denetimler!$D:$D,MATCH($A479,Denetimler!$A:$A,0)),"No yok"))</f>
        <v/>
      </c>
      <c r="J479" s="19" t="str">
        <f aca="false">IF($A479="","",IFERROR(INDEX(Denetimler!$E:$E,MATCH($A479,Denetimler!$A:$A,0)),"No yok"))</f>
        <v/>
      </c>
      <c r="K479" s="25" t="str">
        <f aca="false">IF($A479="","",IFERROR(INDEX(Denetimler!$B:$B,MATCH($A479,Denetimler!$A:$A,0)),"No yok"))</f>
        <v/>
      </c>
    </row>
    <row r="480" customFormat="false" ht="15" hidden="false" customHeight="false" outlineLevel="0" collapsed="false">
      <c r="D480" s="19" t="str">
        <f aca="false">IF($B480="","",IFERROR(INDEX(Madde_Listesi!$C:$C,MATCH($B480,Madde_Listesi!$B:$B,0)),"Kod yok"))</f>
        <v/>
      </c>
      <c r="E480" s="19" t="str">
        <f aca="false">IF($B480="","",IFERROR(INDEX(Madde_Listesi!$D:$D,MATCH($B480,Madde_Listesi!$B:$B,0)),"Kod yok"))</f>
        <v/>
      </c>
      <c r="F480" s="19" t="str">
        <f aca="false">IF($B480="","",IFERROR(INDEX(Madde_Listesi!$E:$E,MATCH($B480,Madde_Listesi!$B:$B,0)),"Kod yok"))</f>
        <v/>
      </c>
      <c r="G480" s="19" t="str">
        <f aca="false">IF($B480="","",IFERROR(INDEX(Madde_Listesi!$F:$F,MATCH($B480,Madde_Listesi!$B:$B,0)),"Kod yok"))</f>
        <v/>
      </c>
      <c r="H480" s="19" t="str">
        <f aca="false">IF($A480="","",IFERROR(INDEX(Denetimler!$C:$C,MATCH($A480,Denetimler!$A:$A,0)),"No yok"))</f>
        <v/>
      </c>
      <c r="I480" s="19" t="str">
        <f aca="false">IF($A480="","",IFERROR(INDEX(Denetimler!$D:$D,MATCH($A480,Denetimler!$A:$A,0)),"No yok"))</f>
        <v/>
      </c>
      <c r="J480" s="19" t="str">
        <f aca="false">IF($A480="","",IFERROR(INDEX(Denetimler!$E:$E,MATCH($A480,Denetimler!$A:$A,0)),"No yok"))</f>
        <v/>
      </c>
      <c r="K480" s="25" t="str">
        <f aca="false">IF($A480="","",IFERROR(INDEX(Denetimler!$B:$B,MATCH($A480,Denetimler!$A:$A,0)),"No yok"))</f>
        <v/>
      </c>
    </row>
    <row r="481" customFormat="false" ht="15" hidden="false" customHeight="false" outlineLevel="0" collapsed="false">
      <c r="D481" s="19" t="str">
        <f aca="false">IF($B481="","",IFERROR(INDEX(Madde_Listesi!$C:$C,MATCH($B481,Madde_Listesi!$B:$B,0)),"Kod yok"))</f>
        <v/>
      </c>
      <c r="E481" s="19" t="str">
        <f aca="false">IF($B481="","",IFERROR(INDEX(Madde_Listesi!$D:$D,MATCH($B481,Madde_Listesi!$B:$B,0)),"Kod yok"))</f>
        <v/>
      </c>
      <c r="F481" s="19" t="str">
        <f aca="false">IF($B481="","",IFERROR(INDEX(Madde_Listesi!$E:$E,MATCH($B481,Madde_Listesi!$B:$B,0)),"Kod yok"))</f>
        <v/>
      </c>
      <c r="G481" s="19" t="str">
        <f aca="false">IF($B481="","",IFERROR(INDEX(Madde_Listesi!$F:$F,MATCH($B481,Madde_Listesi!$B:$B,0)),"Kod yok"))</f>
        <v/>
      </c>
      <c r="H481" s="19" t="str">
        <f aca="false">IF($A481="","",IFERROR(INDEX(Denetimler!$C:$C,MATCH($A481,Denetimler!$A:$A,0)),"No yok"))</f>
        <v/>
      </c>
      <c r="I481" s="19" t="str">
        <f aca="false">IF($A481="","",IFERROR(INDEX(Denetimler!$D:$D,MATCH($A481,Denetimler!$A:$A,0)),"No yok"))</f>
        <v/>
      </c>
      <c r="J481" s="19" t="str">
        <f aca="false">IF($A481="","",IFERROR(INDEX(Denetimler!$E:$E,MATCH($A481,Denetimler!$A:$A,0)),"No yok"))</f>
        <v/>
      </c>
      <c r="K481" s="25" t="str">
        <f aca="false">IF($A481="","",IFERROR(INDEX(Denetimler!$B:$B,MATCH($A481,Denetimler!$A:$A,0)),"No yok"))</f>
        <v/>
      </c>
    </row>
    <row r="482" customFormat="false" ht="15" hidden="false" customHeight="false" outlineLevel="0" collapsed="false">
      <c r="D482" s="19" t="str">
        <f aca="false">IF($B482="","",IFERROR(INDEX(Madde_Listesi!$C:$C,MATCH($B482,Madde_Listesi!$B:$B,0)),"Kod yok"))</f>
        <v/>
      </c>
      <c r="E482" s="19" t="str">
        <f aca="false">IF($B482="","",IFERROR(INDEX(Madde_Listesi!$D:$D,MATCH($B482,Madde_Listesi!$B:$B,0)),"Kod yok"))</f>
        <v/>
      </c>
      <c r="F482" s="19" t="str">
        <f aca="false">IF($B482="","",IFERROR(INDEX(Madde_Listesi!$E:$E,MATCH($B482,Madde_Listesi!$B:$B,0)),"Kod yok"))</f>
        <v/>
      </c>
      <c r="G482" s="19" t="str">
        <f aca="false">IF($B482="","",IFERROR(INDEX(Madde_Listesi!$F:$F,MATCH($B482,Madde_Listesi!$B:$B,0)),"Kod yok"))</f>
        <v/>
      </c>
      <c r="H482" s="19" t="str">
        <f aca="false">IF($A482="","",IFERROR(INDEX(Denetimler!$C:$C,MATCH($A482,Denetimler!$A:$A,0)),"No yok"))</f>
        <v/>
      </c>
      <c r="I482" s="19" t="str">
        <f aca="false">IF($A482="","",IFERROR(INDEX(Denetimler!$D:$D,MATCH($A482,Denetimler!$A:$A,0)),"No yok"))</f>
        <v/>
      </c>
      <c r="J482" s="19" t="str">
        <f aca="false">IF($A482="","",IFERROR(INDEX(Denetimler!$E:$E,MATCH($A482,Denetimler!$A:$A,0)),"No yok"))</f>
        <v/>
      </c>
      <c r="K482" s="25" t="str">
        <f aca="false">IF($A482="","",IFERROR(INDEX(Denetimler!$B:$B,MATCH($A482,Denetimler!$A:$A,0)),"No yok"))</f>
        <v/>
      </c>
    </row>
    <row r="483" customFormat="false" ht="15" hidden="false" customHeight="false" outlineLevel="0" collapsed="false">
      <c r="D483" s="19" t="str">
        <f aca="false">IF($B483="","",IFERROR(INDEX(Madde_Listesi!$C:$C,MATCH($B483,Madde_Listesi!$B:$B,0)),"Kod yok"))</f>
        <v/>
      </c>
      <c r="E483" s="19" t="str">
        <f aca="false">IF($B483="","",IFERROR(INDEX(Madde_Listesi!$D:$D,MATCH($B483,Madde_Listesi!$B:$B,0)),"Kod yok"))</f>
        <v/>
      </c>
      <c r="F483" s="19" t="str">
        <f aca="false">IF($B483="","",IFERROR(INDEX(Madde_Listesi!$E:$E,MATCH($B483,Madde_Listesi!$B:$B,0)),"Kod yok"))</f>
        <v/>
      </c>
      <c r="G483" s="19" t="str">
        <f aca="false">IF($B483="","",IFERROR(INDEX(Madde_Listesi!$F:$F,MATCH($B483,Madde_Listesi!$B:$B,0)),"Kod yok"))</f>
        <v/>
      </c>
      <c r="H483" s="19" t="str">
        <f aca="false">IF($A483="","",IFERROR(INDEX(Denetimler!$C:$C,MATCH($A483,Denetimler!$A:$A,0)),"No yok"))</f>
        <v/>
      </c>
      <c r="I483" s="19" t="str">
        <f aca="false">IF($A483="","",IFERROR(INDEX(Denetimler!$D:$D,MATCH($A483,Denetimler!$A:$A,0)),"No yok"))</f>
        <v/>
      </c>
      <c r="J483" s="19" t="str">
        <f aca="false">IF($A483="","",IFERROR(INDEX(Denetimler!$E:$E,MATCH($A483,Denetimler!$A:$A,0)),"No yok"))</f>
        <v/>
      </c>
      <c r="K483" s="25" t="str">
        <f aca="false">IF($A483="","",IFERROR(INDEX(Denetimler!$B:$B,MATCH($A483,Denetimler!$A:$A,0)),"No yok"))</f>
        <v/>
      </c>
    </row>
    <row r="484" customFormat="false" ht="15" hidden="false" customHeight="false" outlineLevel="0" collapsed="false">
      <c r="D484" s="19" t="str">
        <f aca="false">IF($B484="","",IFERROR(INDEX(Madde_Listesi!$C:$C,MATCH($B484,Madde_Listesi!$B:$B,0)),"Kod yok"))</f>
        <v/>
      </c>
      <c r="E484" s="19" t="str">
        <f aca="false">IF($B484="","",IFERROR(INDEX(Madde_Listesi!$D:$D,MATCH($B484,Madde_Listesi!$B:$B,0)),"Kod yok"))</f>
        <v/>
      </c>
      <c r="F484" s="19" t="str">
        <f aca="false">IF($B484="","",IFERROR(INDEX(Madde_Listesi!$E:$E,MATCH($B484,Madde_Listesi!$B:$B,0)),"Kod yok"))</f>
        <v/>
      </c>
      <c r="G484" s="19" t="str">
        <f aca="false">IF($B484="","",IFERROR(INDEX(Madde_Listesi!$F:$F,MATCH($B484,Madde_Listesi!$B:$B,0)),"Kod yok"))</f>
        <v/>
      </c>
      <c r="H484" s="19" t="str">
        <f aca="false">IF($A484="","",IFERROR(INDEX(Denetimler!$C:$C,MATCH($A484,Denetimler!$A:$A,0)),"No yok"))</f>
        <v/>
      </c>
      <c r="I484" s="19" t="str">
        <f aca="false">IF($A484="","",IFERROR(INDEX(Denetimler!$D:$D,MATCH($A484,Denetimler!$A:$A,0)),"No yok"))</f>
        <v/>
      </c>
      <c r="J484" s="19" t="str">
        <f aca="false">IF($A484="","",IFERROR(INDEX(Denetimler!$E:$E,MATCH($A484,Denetimler!$A:$A,0)),"No yok"))</f>
        <v/>
      </c>
      <c r="K484" s="25" t="str">
        <f aca="false">IF($A484="","",IFERROR(INDEX(Denetimler!$B:$B,MATCH($A484,Denetimler!$A:$A,0)),"No yok"))</f>
        <v/>
      </c>
    </row>
    <row r="485" customFormat="false" ht="15" hidden="false" customHeight="false" outlineLevel="0" collapsed="false">
      <c r="D485" s="19" t="str">
        <f aca="false">IF($B485="","",IFERROR(INDEX(Madde_Listesi!$C:$C,MATCH($B485,Madde_Listesi!$B:$B,0)),"Kod yok"))</f>
        <v/>
      </c>
      <c r="E485" s="19" t="str">
        <f aca="false">IF($B485="","",IFERROR(INDEX(Madde_Listesi!$D:$D,MATCH($B485,Madde_Listesi!$B:$B,0)),"Kod yok"))</f>
        <v/>
      </c>
      <c r="F485" s="19" t="str">
        <f aca="false">IF($B485="","",IFERROR(INDEX(Madde_Listesi!$E:$E,MATCH($B485,Madde_Listesi!$B:$B,0)),"Kod yok"))</f>
        <v/>
      </c>
      <c r="G485" s="19" t="str">
        <f aca="false">IF($B485="","",IFERROR(INDEX(Madde_Listesi!$F:$F,MATCH($B485,Madde_Listesi!$B:$B,0)),"Kod yok"))</f>
        <v/>
      </c>
      <c r="H485" s="19" t="str">
        <f aca="false">IF($A485="","",IFERROR(INDEX(Denetimler!$C:$C,MATCH($A485,Denetimler!$A:$A,0)),"No yok"))</f>
        <v/>
      </c>
      <c r="I485" s="19" t="str">
        <f aca="false">IF($A485="","",IFERROR(INDEX(Denetimler!$D:$D,MATCH($A485,Denetimler!$A:$A,0)),"No yok"))</f>
        <v/>
      </c>
      <c r="J485" s="19" t="str">
        <f aca="false">IF($A485="","",IFERROR(INDEX(Denetimler!$E:$E,MATCH($A485,Denetimler!$A:$A,0)),"No yok"))</f>
        <v/>
      </c>
      <c r="K485" s="25" t="str">
        <f aca="false">IF($A485="","",IFERROR(INDEX(Denetimler!$B:$B,MATCH($A485,Denetimler!$A:$A,0)),"No yok"))</f>
        <v/>
      </c>
    </row>
    <row r="486" customFormat="false" ht="15" hidden="false" customHeight="false" outlineLevel="0" collapsed="false">
      <c r="D486" s="19" t="str">
        <f aca="false">IF($B486="","",IFERROR(INDEX(Madde_Listesi!$C:$C,MATCH($B486,Madde_Listesi!$B:$B,0)),"Kod yok"))</f>
        <v/>
      </c>
      <c r="E486" s="19" t="str">
        <f aca="false">IF($B486="","",IFERROR(INDEX(Madde_Listesi!$D:$D,MATCH($B486,Madde_Listesi!$B:$B,0)),"Kod yok"))</f>
        <v/>
      </c>
      <c r="F486" s="19" t="str">
        <f aca="false">IF($B486="","",IFERROR(INDEX(Madde_Listesi!$E:$E,MATCH($B486,Madde_Listesi!$B:$B,0)),"Kod yok"))</f>
        <v/>
      </c>
      <c r="G486" s="19" t="str">
        <f aca="false">IF($B486="","",IFERROR(INDEX(Madde_Listesi!$F:$F,MATCH($B486,Madde_Listesi!$B:$B,0)),"Kod yok"))</f>
        <v/>
      </c>
      <c r="H486" s="19" t="str">
        <f aca="false">IF($A486="","",IFERROR(INDEX(Denetimler!$C:$C,MATCH($A486,Denetimler!$A:$A,0)),"No yok"))</f>
        <v/>
      </c>
      <c r="I486" s="19" t="str">
        <f aca="false">IF($A486="","",IFERROR(INDEX(Denetimler!$D:$D,MATCH($A486,Denetimler!$A:$A,0)),"No yok"))</f>
        <v/>
      </c>
      <c r="J486" s="19" t="str">
        <f aca="false">IF($A486="","",IFERROR(INDEX(Denetimler!$E:$E,MATCH($A486,Denetimler!$A:$A,0)),"No yok"))</f>
        <v/>
      </c>
      <c r="K486" s="25" t="str">
        <f aca="false">IF($A486="","",IFERROR(INDEX(Denetimler!$B:$B,MATCH($A486,Denetimler!$A:$A,0)),"No yok"))</f>
        <v/>
      </c>
    </row>
    <row r="487" customFormat="false" ht="15" hidden="false" customHeight="false" outlineLevel="0" collapsed="false">
      <c r="D487" s="19" t="str">
        <f aca="false">IF($B487="","",IFERROR(INDEX(Madde_Listesi!$C:$C,MATCH($B487,Madde_Listesi!$B:$B,0)),"Kod yok"))</f>
        <v/>
      </c>
      <c r="E487" s="19" t="str">
        <f aca="false">IF($B487="","",IFERROR(INDEX(Madde_Listesi!$D:$D,MATCH($B487,Madde_Listesi!$B:$B,0)),"Kod yok"))</f>
        <v/>
      </c>
      <c r="F487" s="19" t="str">
        <f aca="false">IF($B487="","",IFERROR(INDEX(Madde_Listesi!$E:$E,MATCH($B487,Madde_Listesi!$B:$B,0)),"Kod yok"))</f>
        <v/>
      </c>
      <c r="G487" s="19" t="str">
        <f aca="false">IF($B487="","",IFERROR(INDEX(Madde_Listesi!$F:$F,MATCH($B487,Madde_Listesi!$B:$B,0)),"Kod yok"))</f>
        <v/>
      </c>
      <c r="H487" s="19" t="str">
        <f aca="false">IF($A487="","",IFERROR(INDEX(Denetimler!$C:$C,MATCH($A487,Denetimler!$A:$A,0)),"No yok"))</f>
        <v/>
      </c>
      <c r="I487" s="19" t="str">
        <f aca="false">IF($A487="","",IFERROR(INDEX(Denetimler!$D:$D,MATCH($A487,Denetimler!$A:$A,0)),"No yok"))</f>
        <v/>
      </c>
      <c r="J487" s="19" t="str">
        <f aca="false">IF($A487="","",IFERROR(INDEX(Denetimler!$E:$E,MATCH($A487,Denetimler!$A:$A,0)),"No yok"))</f>
        <v/>
      </c>
      <c r="K487" s="25" t="str">
        <f aca="false">IF($A487="","",IFERROR(INDEX(Denetimler!$B:$B,MATCH($A487,Denetimler!$A:$A,0)),"No yok"))</f>
        <v/>
      </c>
    </row>
    <row r="488" customFormat="false" ht="15" hidden="false" customHeight="false" outlineLevel="0" collapsed="false">
      <c r="D488" s="19" t="str">
        <f aca="false">IF($B488="","",IFERROR(INDEX(Madde_Listesi!$C:$C,MATCH($B488,Madde_Listesi!$B:$B,0)),"Kod yok"))</f>
        <v/>
      </c>
      <c r="E488" s="19" t="str">
        <f aca="false">IF($B488="","",IFERROR(INDEX(Madde_Listesi!$D:$D,MATCH($B488,Madde_Listesi!$B:$B,0)),"Kod yok"))</f>
        <v/>
      </c>
      <c r="F488" s="19" t="str">
        <f aca="false">IF($B488="","",IFERROR(INDEX(Madde_Listesi!$E:$E,MATCH($B488,Madde_Listesi!$B:$B,0)),"Kod yok"))</f>
        <v/>
      </c>
      <c r="G488" s="19" t="str">
        <f aca="false">IF($B488="","",IFERROR(INDEX(Madde_Listesi!$F:$F,MATCH($B488,Madde_Listesi!$B:$B,0)),"Kod yok"))</f>
        <v/>
      </c>
      <c r="H488" s="19" t="str">
        <f aca="false">IF($A488="","",IFERROR(INDEX(Denetimler!$C:$C,MATCH($A488,Denetimler!$A:$A,0)),"No yok"))</f>
        <v/>
      </c>
      <c r="I488" s="19" t="str">
        <f aca="false">IF($A488="","",IFERROR(INDEX(Denetimler!$D:$D,MATCH($A488,Denetimler!$A:$A,0)),"No yok"))</f>
        <v/>
      </c>
      <c r="J488" s="19" t="str">
        <f aca="false">IF($A488="","",IFERROR(INDEX(Denetimler!$E:$E,MATCH($A488,Denetimler!$A:$A,0)),"No yok"))</f>
        <v/>
      </c>
      <c r="K488" s="25" t="str">
        <f aca="false">IF($A488="","",IFERROR(INDEX(Denetimler!$B:$B,MATCH($A488,Denetimler!$A:$A,0)),"No yok"))</f>
        <v/>
      </c>
    </row>
    <row r="489" customFormat="false" ht="15" hidden="false" customHeight="false" outlineLevel="0" collapsed="false">
      <c r="D489" s="19" t="str">
        <f aca="false">IF($B489="","",IFERROR(INDEX(Madde_Listesi!$C:$C,MATCH($B489,Madde_Listesi!$B:$B,0)),"Kod yok"))</f>
        <v/>
      </c>
      <c r="E489" s="19" t="str">
        <f aca="false">IF($B489="","",IFERROR(INDEX(Madde_Listesi!$D:$D,MATCH($B489,Madde_Listesi!$B:$B,0)),"Kod yok"))</f>
        <v/>
      </c>
      <c r="F489" s="19" t="str">
        <f aca="false">IF($B489="","",IFERROR(INDEX(Madde_Listesi!$E:$E,MATCH($B489,Madde_Listesi!$B:$B,0)),"Kod yok"))</f>
        <v/>
      </c>
      <c r="G489" s="19" t="str">
        <f aca="false">IF($B489="","",IFERROR(INDEX(Madde_Listesi!$F:$F,MATCH($B489,Madde_Listesi!$B:$B,0)),"Kod yok"))</f>
        <v/>
      </c>
      <c r="H489" s="19" t="str">
        <f aca="false">IF($A489="","",IFERROR(INDEX(Denetimler!$C:$C,MATCH($A489,Denetimler!$A:$A,0)),"No yok"))</f>
        <v/>
      </c>
      <c r="I489" s="19" t="str">
        <f aca="false">IF($A489="","",IFERROR(INDEX(Denetimler!$D:$D,MATCH($A489,Denetimler!$A:$A,0)),"No yok"))</f>
        <v/>
      </c>
      <c r="J489" s="19" t="str">
        <f aca="false">IF($A489="","",IFERROR(INDEX(Denetimler!$E:$E,MATCH($A489,Denetimler!$A:$A,0)),"No yok"))</f>
        <v/>
      </c>
      <c r="K489" s="25" t="str">
        <f aca="false">IF($A489="","",IFERROR(INDEX(Denetimler!$B:$B,MATCH($A489,Denetimler!$A:$A,0)),"No yok"))</f>
        <v/>
      </c>
    </row>
    <row r="490" customFormat="false" ht="15" hidden="false" customHeight="false" outlineLevel="0" collapsed="false">
      <c r="D490" s="19" t="str">
        <f aca="false">IF($B490="","",IFERROR(INDEX(Madde_Listesi!$C:$C,MATCH($B490,Madde_Listesi!$B:$B,0)),"Kod yok"))</f>
        <v/>
      </c>
      <c r="E490" s="19" t="str">
        <f aca="false">IF($B490="","",IFERROR(INDEX(Madde_Listesi!$D:$D,MATCH($B490,Madde_Listesi!$B:$B,0)),"Kod yok"))</f>
        <v/>
      </c>
      <c r="F490" s="19" t="str">
        <f aca="false">IF($B490="","",IFERROR(INDEX(Madde_Listesi!$E:$E,MATCH($B490,Madde_Listesi!$B:$B,0)),"Kod yok"))</f>
        <v/>
      </c>
      <c r="G490" s="19" t="str">
        <f aca="false">IF($B490="","",IFERROR(INDEX(Madde_Listesi!$F:$F,MATCH($B490,Madde_Listesi!$B:$B,0)),"Kod yok"))</f>
        <v/>
      </c>
      <c r="H490" s="19" t="str">
        <f aca="false">IF($A490="","",IFERROR(INDEX(Denetimler!$C:$C,MATCH($A490,Denetimler!$A:$A,0)),"No yok"))</f>
        <v/>
      </c>
      <c r="I490" s="19" t="str">
        <f aca="false">IF($A490="","",IFERROR(INDEX(Denetimler!$D:$D,MATCH($A490,Denetimler!$A:$A,0)),"No yok"))</f>
        <v/>
      </c>
      <c r="J490" s="19" t="str">
        <f aca="false">IF($A490="","",IFERROR(INDEX(Denetimler!$E:$E,MATCH($A490,Denetimler!$A:$A,0)),"No yok"))</f>
        <v/>
      </c>
      <c r="K490" s="25" t="str">
        <f aca="false">IF($A490="","",IFERROR(INDEX(Denetimler!$B:$B,MATCH($A490,Denetimler!$A:$A,0)),"No yok"))</f>
        <v/>
      </c>
    </row>
    <row r="491" customFormat="false" ht="15" hidden="false" customHeight="false" outlineLevel="0" collapsed="false">
      <c r="D491" s="19" t="str">
        <f aca="false">IF($B491="","",IFERROR(INDEX(Madde_Listesi!$C:$C,MATCH($B491,Madde_Listesi!$B:$B,0)),"Kod yok"))</f>
        <v/>
      </c>
      <c r="E491" s="19" t="str">
        <f aca="false">IF($B491="","",IFERROR(INDEX(Madde_Listesi!$D:$D,MATCH($B491,Madde_Listesi!$B:$B,0)),"Kod yok"))</f>
        <v/>
      </c>
      <c r="F491" s="19" t="str">
        <f aca="false">IF($B491="","",IFERROR(INDEX(Madde_Listesi!$E:$E,MATCH($B491,Madde_Listesi!$B:$B,0)),"Kod yok"))</f>
        <v/>
      </c>
      <c r="G491" s="19" t="str">
        <f aca="false">IF($B491="","",IFERROR(INDEX(Madde_Listesi!$F:$F,MATCH($B491,Madde_Listesi!$B:$B,0)),"Kod yok"))</f>
        <v/>
      </c>
      <c r="H491" s="19" t="str">
        <f aca="false">IF($A491="","",IFERROR(INDEX(Denetimler!$C:$C,MATCH($A491,Denetimler!$A:$A,0)),"No yok"))</f>
        <v/>
      </c>
      <c r="I491" s="19" t="str">
        <f aca="false">IF($A491="","",IFERROR(INDEX(Denetimler!$D:$D,MATCH($A491,Denetimler!$A:$A,0)),"No yok"))</f>
        <v/>
      </c>
      <c r="J491" s="19" t="str">
        <f aca="false">IF($A491="","",IFERROR(INDEX(Denetimler!$E:$E,MATCH($A491,Denetimler!$A:$A,0)),"No yok"))</f>
        <v/>
      </c>
      <c r="K491" s="25" t="str">
        <f aca="false">IF($A491="","",IFERROR(INDEX(Denetimler!$B:$B,MATCH($A491,Denetimler!$A:$A,0)),"No yok"))</f>
        <v/>
      </c>
    </row>
    <row r="492" customFormat="false" ht="15" hidden="false" customHeight="false" outlineLevel="0" collapsed="false">
      <c r="D492" s="19" t="str">
        <f aca="false">IF($B492="","",IFERROR(INDEX(Madde_Listesi!$C:$C,MATCH($B492,Madde_Listesi!$B:$B,0)),"Kod yok"))</f>
        <v/>
      </c>
      <c r="E492" s="19" t="str">
        <f aca="false">IF($B492="","",IFERROR(INDEX(Madde_Listesi!$D:$D,MATCH($B492,Madde_Listesi!$B:$B,0)),"Kod yok"))</f>
        <v/>
      </c>
      <c r="F492" s="19" t="str">
        <f aca="false">IF($B492="","",IFERROR(INDEX(Madde_Listesi!$E:$E,MATCH($B492,Madde_Listesi!$B:$B,0)),"Kod yok"))</f>
        <v/>
      </c>
      <c r="G492" s="19" t="str">
        <f aca="false">IF($B492="","",IFERROR(INDEX(Madde_Listesi!$F:$F,MATCH($B492,Madde_Listesi!$B:$B,0)),"Kod yok"))</f>
        <v/>
      </c>
      <c r="H492" s="19" t="str">
        <f aca="false">IF($A492="","",IFERROR(INDEX(Denetimler!$C:$C,MATCH($A492,Denetimler!$A:$A,0)),"No yok"))</f>
        <v/>
      </c>
      <c r="I492" s="19" t="str">
        <f aca="false">IF($A492="","",IFERROR(INDEX(Denetimler!$D:$D,MATCH($A492,Denetimler!$A:$A,0)),"No yok"))</f>
        <v/>
      </c>
      <c r="J492" s="19" t="str">
        <f aca="false">IF($A492="","",IFERROR(INDEX(Denetimler!$E:$E,MATCH($A492,Denetimler!$A:$A,0)),"No yok"))</f>
        <v/>
      </c>
      <c r="K492" s="25" t="str">
        <f aca="false">IF($A492="","",IFERROR(INDEX(Denetimler!$B:$B,MATCH($A492,Denetimler!$A:$A,0)),"No yok"))</f>
        <v/>
      </c>
    </row>
    <row r="493" customFormat="false" ht="15" hidden="false" customHeight="false" outlineLevel="0" collapsed="false">
      <c r="D493" s="19" t="str">
        <f aca="false">IF($B493="","",IFERROR(INDEX(Madde_Listesi!$C:$C,MATCH($B493,Madde_Listesi!$B:$B,0)),"Kod yok"))</f>
        <v/>
      </c>
      <c r="E493" s="19" t="str">
        <f aca="false">IF($B493="","",IFERROR(INDEX(Madde_Listesi!$D:$D,MATCH($B493,Madde_Listesi!$B:$B,0)),"Kod yok"))</f>
        <v/>
      </c>
      <c r="F493" s="19" t="str">
        <f aca="false">IF($B493="","",IFERROR(INDEX(Madde_Listesi!$E:$E,MATCH($B493,Madde_Listesi!$B:$B,0)),"Kod yok"))</f>
        <v/>
      </c>
      <c r="G493" s="19" t="str">
        <f aca="false">IF($B493="","",IFERROR(INDEX(Madde_Listesi!$F:$F,MATCH($B493,Madde_Listesi!$B:$B,0)),"Kod yok"))</f>
        <v/>
      </c>
      <c r="H493" s="19" t="str">
        <f aca="false">IF($A493="","",IFERROR(INDEX(Denetimler!$C:$C,MATCH($A493,Denetimler!$A:$A,0)),"No yok"))</f>
        <v/>
      </c>
      <c r="I493" s="19" t="str">
        <f aca="false">IF($A493="","",IFERROR(INDEX(Denetimler!$D:$D,MATCH($A493,Denetimler!$A:$A,0)),"No yok"))</f>
        <v/>
      </c>
      <c r="J493" s="19" t="str">
        <f aca="false">IF($A493="","",IFERROR(INDEX(Denetimler!$E:$E,MATCH($A493,Denetimler!$A:$A,0)),"No yok"))</f>
        <v/>
      </c>
      <c r="K493" s="25" t="str">
        <f aca="false">IF($A493="","",IFERROR(INDEX(Denetimler!$B:$B,MATCH($A493,Denetimler!$A:$A,0)),"No yok"))</f>
        <v/>
      </c>
    </row>
    <row r="494" customFormat="false" ht="15" hidden="false" customHeight="false" outlineLevel="0" collapsed="false">
      <c r="D494" s="19" t="str">
        <f aca="false">IF($B494="","",IFERROR(INDEX(Madde_Listesi!$C:$C,MATCH($B494,Madde_Listesi!$B:$B,0)),"Kod yok"))</f>
        <v/>
      </c>
      <c r="E494" s="19" t="str">
        <f aca="false">IF($B494="","",IFERROR(INDEX(Madde_Listesi!$D:$D,MATCH($B494,Madde_Listesi!$B:$B,0)),"Kod yok"))</f>
        <v/>
      </c>
      <c r="F494" s="19" t="str">
        <f aca="false">IF($B494="","",IFERROR(INDEX(Madde_Listesi!$E:$E,MATCH($B494,Madde_Listesi!$B:$B,0)),"Kod yok"))</f>
        <v/>
      </c>
      <c r="G494" s="19" t="str">
        <f aca="false">IF($B494="","",IFERROR(INDEX(Madde_Listesi!$F:$F,MATCH($B494,Madde_Listesi!$B:$B,0)),"Kod yok"))</f>
        <v/>
      </c>
      <c r="H494" s="19" t="str">
        <f aca="false">IF($A494="","",IFERROR(INDEX(Denetimler!$C:$C,MATCH($A494,Denetimler!$A:$A,0)),"No yok"))</f>
        <v/>
      </c>
      <c r="I494" s="19" t="str">
        <f aca="false">IF($A494="","",IFERROR(INDEX(Denetimler!$D:$D,MATCH($A494,Denetimler!$A:$A,0)),"No yok"))</f>
        <v/>
      </c>
      <c r="J494" s="19" t="str">
        <f aca="false">IF($A494="","",IFERROR(INDEX(Denetimler!$E:$E,MATCH($A494,Denetimler!$A:$A,0)),"No yok"))</f>
        <v/>
      </c>
      <c r="K494" s="25" t="str">
        <f aca="false">IF($A494="","",IFERROR(INDEX(Denetimler!$B:$B,MATCH($A494,Denetimler!$A:$A,0)),"No yok"))</f>
        <v/>
      </c>
    </row>
    <row r="495" customFormat="false" ht="15" hidden="false" customHeight="false" outlineLevel="0" collapsed="false">
      <c r="D495" s="19" t="str">
        <f aca="false">IF($B495="","",IFERROR(INDEX(Madde_Listesi!$C:$C,MATCH($B495,Madde_Listesi!$B:$B,0)),"Kod yok"))</f>
        <v/>
      </c>
      <c r="E495" s="19" t="str">
        <f aca="false">IF($B495="","",IFERROR(INDEX(Madde_Listesi!$D:$D,MATCH($B495,Madde_Listesi!$B:$B,0)),"Kod yok"))</f>
        <v/>
      </c>
      <c r="F495" s="19" t="str">
        <f aca="false">IF($B495="","",IFERROR(INDEX(Madde_Listesi!$E:$E,MATCH($B495,Madde_Listesi!$B:$B,0)),"Kod yok"))</f>
        <v/>
      </c>
      <c r="G495" s="19" t="str">
        <f aca="false">IF($B495="","",IFERROR(INDEX(Madde_Listesi!$F:$F,MATCH($B495,Madde_Listesi!$B:$B,0)),"Kod yok"))</f>
        <v/>
      </c>
      <c r="H495" s="19" t="str">
        <f aca="false">IF($A495="","",IFERROR(INDEX(Denetimler!$C:$C,MATCH($A495,Denetimler!$A:$A,0)),"No yok"))</f>
        <v/>
      </c>
      <c r="I495" s="19" t="str">
        <f aca="false">IF($A495="","",IFERROR(INDEX(Denetimler!$D:$D,MATCH($A495,Denetimler!$A:$A,0)),"No yok"))</f>
        <v/>
      </c>
      <c r="J495" s="19" t="str">
        <f aca="false">IF($A495="","",IFERROR(INDEX(Denetimler!$E:$E,MATCH($A495,Denetimler!$A:$A,0)),"No yok"))</f>
        <v/>
      </c>
      <c r="K495" s="25" t="str">
        <f aca="false">IF($A495="","",IFERROR(INDEX(Denetimler!$B:$B,MATCH($A495,Denetimler!$A:$A,0)),"No yok"))</f>
        <v/>
      </c>
    </row>
    <row r="496" customFormat="false" ht="15" hidden="false" customHeight="false" outlineLevel="0" collapsed="false">
      <c r="D496" s="19" t="str">
        <f aca="false">IF($B496="","",IFERROR(INDEX(Madde_Listesi!$C:$C,MATCH($B496,Madde_Listesi!$B:$B,0)),"Kod yok"))</f>
        <v/>
      </c>
      <c r="E496" s="19" t="str">
        <f aca="false">IF($B496="","",IFERROR(INDEX(Madde_Listesi!$D:$D,MATCH($B496,Madde_Listesi!$B:$B,0)),"Kod yok"))</f>
        <v/>
      </c>
      <c r="F496" s="19" t="str">
        <f aca="false">IF($B496="","",IFERROR(INDEX(Madde_Listesi!$E:$E,MATCH($B496,Madde_Listesi!$B:$B,0)),"Kod yok"))</f>
        <v/>
      </c>
      <c r="G496" s="19" t="str">
        <f aca="false">IF($B496="","",IFERROR(INDEX(Madde_Listesi!$F:$F,MATCH($B496,Madde_Listesi!$B:$B,0)),"Kod yok"))</f>
        <v/>
      </c>
      <c r="H496" s="19" t="str">
        <f aca="false">IF($A496="","",IFERROR(INDEX(Denetimler!$C:$C,MATCH($A496,Denetimler!$A:$A,0)),"No yok"))</f>
        <v/>
      </c>
      <c r="I496" s="19" t="str">
        <f aca="false">IF($A496="","",IFERROR(INDEX(Denetimler!$D:$D,MATCH($A496,Denetimler!$A:$A,0)),"No yok"))</f>
        <v/>
      </c>
      <c r="J496" s="19" t="str">
        <f aca="false">IF($A496="","",IFERROR(INDEX(Denetimler!$E:$E,MATCH($A496,Denetimler!$A:$A,0)),"No yok"))</f>
        <v/>
      </c>
      <c r="K496" s="25" t="str">
        <f aca="false">IF($A496="","",IFERROR(INDEX(Denetimler!$B:$B,MATCH($A496,Denetimler!$A:$A,0)),"No yok"))</f>
        <v/>
      </c>
    </row>
    <row r="497" customFormat="false" ht="15" hidden="false" customHeight="false" outlineLevel="0" collapsed="false">
      <c r="D497" s="19" t="str">
        <f aca="false">IF($B497="","",IFERROR(INDEX(Madde_Listesi!$C:$C,MATCH($B497,Madde_Listesi!$B:$B,0)),"Kod yok"))</f>
        <v/>
      </c>
      <c r="E497" s="19" t="str">
        <f aca="false">IF($B497="","",IFERROR(INDEX(Madde_Listesi!$D:$D,MATCH($B497,Madde_Listesi!$B:$B,0)),"Kod yok"))</f>
        <v/>
      </c>
      <c r="F497" s="19" t="str">
        <f aca="false">IF($B497="","",IFERROR(INDEX(Madde_Listesi!$E:$E,MATCH($B497,Madde_Listesi!$B:$B,0)),"Kod yok"))</f>
        <v/>
      </c>
      <c r="G497" s="19" t="str">
        <f aca="false">IF($B497="","",IFERROR(INDEX(Madde_Listesi!$F:$F,MATCH($B497,Madde_Listesi!$B:$B,0)),"Kod yok"))</f>
        <v/>
      </c>
      <c r="H497" s="19" t="str">
        <f aca="false">IF($A497="","",IFERROR(INDEX(Denetimler!$C:$C,MATCH($A497,Denetimler!$A:$A,0)),"No yok"))</f>
        <v/>
      </c>
      <c r="I497" s="19" t="str">
        <f aca="false">IF($A497="","",IFERROR(INDEX(Denetimler!$D:$D,MATCH($A497,Denetimler!$A:$A,0)),"No yok"))</f>
        <v/>
      </c>
      <c r="J497" s="19" t="str">
        <f aca="false">IF($A497="","",IFERROR(INDEX(Denetimler!$E:$E,MATCH($A497,Denetimler!$A:$A,0)),"No yok"))</f>
        <v/>
      </c>
      <c r="K497" s="25" t="str">
        <f aca="false">IF($A497="","",IFERROR(INDEX(Denetimler!$B:$B,MATCH($A497,Denetimler!$A:$A,0)),"No yok"))</f>
        <v/>
      </c>
    </row>
    <row r="498" customFormat="false" ht="15" hidden="false" customHeight="false" outlineLevel="0" collapsed="false">
      <c r="D498" s="19" t="str">
        <f aca="false">IF($B498="","",IFERROR(INDEX(Madde_Listesi!$C:$C,MATCH($B498,Madde_Listesi!$B:$B,0)),"Kod yok"))</f>
        <v/>
      </c>
      <c r="E498" s="19" t="str">
        <f aca="false">IF($B498="","",IFERROR(INDEX(Madde_Listesi!$D:$D,MATCH($B498,Madde_Listesi!$B:$B,0)),"Kod yok"))</f>
        <v/>
      </c>
      <c r="F498" s="19" t="str">
        <f aca="false">IF($B498="","",IFERROR(INDEX(Madde_Listesi!$E:$E,MATCH($B498,Madde_Listesi!$B:$B,0)),"Kod yok"))</f>
        <v/>
      </c>
      <c r="G498" s="19" t="str">
        <f aca="false">IF($B498="","",IFERROR(INDEX(Madde_Listesi!$F:$F,MATCH($B498,Madde_Listesi!$B:$B,0)),"Kod yok"))</f>
        <v/>
      </c>
      <c r="H498" s="19" t="str">
        <f aca="false">IF($A498="","",IFERROR(INDEX(Denetimler!$C:$C,MATCH($A498,Denetimler!$A:$A,0)),"No yok"))</f>
        <v/>
      </c>
      <c r="I498" s="19" t="str">
        <f aca="false">IF($A498="","",IFERROR(INDEX(Denetimler!$D:$D,MATCH($A498,Denetimler!$A:$A,0)),"No yok"))</f>
        <v/>
      </c>
      <c r="J498" s="19" t="str">
        <f aca="false">IF($A498="","",IFERROR(INDEX(Denetimler!$E:$E,MATCH($A498,Denetimler!$A:$A,0)),"No yok"))</f>
        <v/>
      </c>
      <c r="K498" s="25" t="str">
        <f aca="false">IF($A498="","",IFERROR(INDEX(Denetimler!$B:$B,MATCH($A498,Denetimler!$A:$A,0)),"No yok"))</f>
        <v/>
      </c>
    </row>
    <row r="499" customFormat="false" ht="15" hidden="false" customHeight="false" outlineLevel="0" collapsed="false">
      <c r="D499" s="19" t="str">
        <f aca="false">IF($B499="","",IFERROR(INDEX(Madde_Listesi!$C:$C,MATCH($B499,Madde_Listesi!$B:$B,0)),"Kod yok"))</f>
        <v/>
      </c>
      <c r="E499" s="19" t="str">
        <f aca="false">IF($B499="","",IFERROR(INDEX(Madde_Listesi!$D:$D,MATCH($B499,Madde_Listesi!$B:$B,0)),"Kod yok"))</f>
        <v/>
      </c>
      <c r="F499" s="19" t="str">
        <f aca="false">IF($B499="","",IFERROR(INDEX(Madde_Listesi!$E:$E,MATCH($B499,Madde_Listesi!$B:$B,0)),"Kod yok"))</f>
        <v/>
      </c>
      <c r="G499" s="19" t="str">
        <f aca="false">IF($B499="","",IFERROR(INDEX(Madde_Listesi!$F:$F,MATCH($B499,Madde_Listesi!$B:$B,0)),"Kod yok"))</f>
        <v/>
      </c>
      <c r="H499" s="19" t="str">
        <f aca="false">IF($A499="","",IFERROR(INDEX(Denetimler!$C:$C,MATCH($A499,Denetimler!$A:$A,0)),"No yok"))</f>
        <v/>
      </c>
      <c r="I499" s="19" t="str">
        <f aca="false">IF($A499="","",IFERROR(INDEX(Denetimler!$D:$D,MATCH($A499,Denetimler!$A:$A,0)),"No yok"))</f>
        <v/>
      </c>
      <c r="J499" s="19" t="str">
        <f aca="false">IF($A499="","",IFERROR(INDEX(Denetimler!$E:$E,MATCH($A499,Denetimler!$A:$A,0)),"No yok"))</f>
        <v/>
      </c>
      <c r="K499" s="25" t="str">
        <f aca="false">IF($A499="","",IFERROR(INDEX(Denetimler!$B:$B,MATCH($A499,Denetimler!$A:$A,0)),"No yok"))</f>
        <v/>
      </c>
    </row>
    <row r="500" customFormat="false" ht="15" hidden="false" customHeight="false" outlineLevel="0" collapsed="false">
      <c r="D500" s="19" t="str">
        <f aca="false">IF($B500="","",IFERROR(INDEX(Madde_Listesi!$C:$C,MATCH($B500,Madde_Listesi!$B:$B,0)),"Kod yok"))</f>
        <v/>
      </c>
      <c r="E500" s="19" t="str">
        <f aca="false">IF($B500="","",IFERROR(INDEX(Madde_Listesi!$D:$D,MATCH($B500,Madde_Listesi!$B:$B,0)),"Kod yok"))</f>
        <v/>
      </c>
      <c r="F500" s="19" t="str">
        <f aca="false">IF($B500="","",IFERROR(INDEX(Madde_Listesi!$E:$E,MATCH($B500,Madde_Listesi!$B:$B,0)),"Kod yok"))</f>
        <v/>
      </c>
      <c r="G500" s="19" t="str">
        <f aca="false">IF($B500="","",IFERROR(INDEX(Madde_Listesi!$F:$F,MATCH($B500,Madde_Listesi!$B:$B,0)),"Kod yok"))</f>
        <v/>
      </c>
      <c r="H500" s="19" t="str">
        <f aca="false">IF($A500="","",IFERROR(INDEX(Denetimler!$C:$C,MATCH($A500,Denetimler!$A:$A,0)),"No yok"))</f>
        <v/>
      </c>
      <c r="I500" s="19" t="str">
        <f aca="false">IF($A500="","",IFERROR(INDEX(Denetimler!$D:$D,MATCH($A500,Denetimler!$A:$A,0)),"No yok"))</f>
        <v/>
      </c>
      <c r="J500" s="19" t="str">
        <f aca="false">IF($A500="","",IFERROR(INDEX(Denetimler!$E:$E,MATCH($A500,Denetimler!$A:$A,0)),"No yok"))</f>
        <v/>
      </c>
      <c r="K500" s="25" t="str">
        <f aca="false">IF($A500="","",IFERROR(INDEX(Denetimler!$B:$B,MATCH($A500,Denetimler!$A:$A,0)),"No yok"))</f>
        <v/>
      </c>
    </row>
    <row r="501" customFormat="false" ht="15" hidden="false" customHeight="false" outlineLevel="0" collapsed="false">
      <c r="D501" s="19" t="str">
        <f aca="false">IF($B501="","",IFERROR(INDEX(Madde_Listesi!$C:$C,MATCH($B501,Madde_Listesi!$B:$B,0)),"Kod yok"))</f>
        <v/>
      </c>
      <c r="E501" s="19" t="str">
        <f aca="false">IF($B501="","",IFERROR(INDEX(Madde_Listesi!$D:$D,MATCH($B501,Madde_Listesi!$B:$B,0)),"Kod yok"))</f>
        <v/>
      </c>
      <c r="F501" s="19" t="str">
        <f aca="false">IF($B501="","",IFERROR(INDEX(Madde_Listesi!$E:$E,MATCH($B501,Madde_Listesi!$B:$B,0)),"Kod yok"))</f>
        <v/>
      </c>
      <c r="G501" s="19" t="str">
        <f aca="false">IF($B501="","",IFERROR(INDEX(Madde_Listesi!$F:$F,MATCH($B501,Madde_Listesi!$B:$B,0)),"Kod yok"))</f>
        <v/>
      </c>
      <c r="H501" s="19" t="str">
        <f aca="false">IF($A501="","",IFERROR(INDEX(Denetimler!$C:$C,MATCH($A501,Denetimler!$A:$A,0)),"No yok"))</f>
        <v/>
      </c>
      <c r="I501" s="19" t="str">
        <f aca="false">IF($A501="","",IFERROR(INDEX(Denetimler!$D:$D,MATCH($A501,Denetimler!$A:$A,0)),"No yok"))</f>
        <v/>
      </c>
      <c r="J501" s="19" t="str">
        <f aca="false">IF($A501="","",IFERROR(INDEX(Denetimler!$E:$E,MATCH($A501,Denetimler!$A:$A,0)),"No yok"))</f>
        <v/>
      </c>
      <c r="K501" s="25" t="str">
        <f aca="false">IF($A501="","",IFERROR(INDEX(Denetimler!$B:$B,MATCH($A501,Denetimler!$A:$A,0)),"No yok"))</f>
        <v/>
      </c>
    </row>
    <row r="502" customFormat="false" ht="15" hidden="false" customHeight="false" outlineLevel="0" collapsed="false">
      <c r="D502" s="19" t="str">
        <f aca="false">IF($B502="","",IFERROR(INDEX(Madde_Listesi!$C:$C,MATCH($B502,Madde_Listesi!$B:$B,0)),"Kod yok"))</f>
        <v/>
      </c>
      <c r="E502" s="19" t="str">
        <f aca="false">IF($B502="","",IFERROR(INDEX(Madde_Listesi!$D:$D,MATCH($B502,Madde_Listesi!$B:$B,0)),"Kod yok"))</f>
        <v/>
      </c>
      <c r="F502" s="19" t="str">
        <f aca="false">IF($B502="","",IFERROR(INDEX(Madde_Listesi!$E:$E,MATCH($B502,Madde_Listesi!$B:$B,0)),"Kod yok"))</f>
        <v/>
      </c>
      <c r="G502" s="19" t="str">
        <f aca="false">IF($B502="","",IFERROR(INDEX(Madde_Listesi!$F:$F,MATCH($B502,Madde_Listesi!$B:$B,0)),"Kod yok"))</f>
        <v/>
      </c>
      <c r="H502" s="19" t="str">
        <f aca="false">IF($A502="","",IFERROR(INDEX(Denetimler!$C:$C,MATCH($A502,Denetimler!$A:$A,0)),"No yok"))</f>
        <v/>
      </c>
      <c r="I502" s="19" t="str">
        <f aca="false">IF($A502="","",IFERROR(INDEX(Denetimler!$D:$D,MATCH($A502,Denetimler!$A:$A,0)),"No yok"))</f>
        <v/>
      </c>
      <c r="J502" s="19" t="str">
        <f aca="false">IF($A502="","",IFERROR(INDEX(Denetimler!$E:$E,MATCH($A502,Denetimler!$A:$A,0)),"No yok"))</f>
        <v/>
      </c>
      <c r="K502" s="25" t="str">
        <f aca="false">IF($A502="","",IFERROR(INDEX(Denetimler!$B:$B,MATCH($A502,Denetimler!$A:$A,0)),"No yok"))</f>
        <v/>
      </c>
    </row>
    <row r="503" customFormat="false" ht="15" hidden="false" customHeight="false" outlineLevel="0" collapsed="false">
      <c r="D503" s="19" t="str">
        <f aca="false">IF($B503="","",IFERROR(INDEX(Madde_Listesi!$C:$C,MATCH($B503,Madde_Listesi!$B:$B,0)),"Kod yok"))</f>
        <v/>
      </c>
      <c r="E503" s="19" t="str">
        <f aca="false">IF($B503="","",IFERROR(INDEX(Madde_Listesi!$D:$D,MATCH($B503,Madde_Listesi!$B:$B,0)),"Kod yok"))</f>
        <v/>
      </c>
      <c r="F503" s="19" t="str">
        <f aca="false">IF($B503="","",IFERROR(INDEX(Madde_Listesi!$E:$E,MATCH($B503,Madde_Listesi!$B:$B,0)),"Kod yok"))</f>
        <v/>
      </c>
      <c r="G503" s="19" t="str">
        <f aca="false">IF($B503="","",IFERROR(INDEX(Madde_Listesi!$F:$F,MATCH($B503,Madde_Listesi!$B:$B,0)),"Kod yok"))</f>
        <v/>
      </c>
      <c r="H503" s="19" t="str">
        <f aca="false">IF($A503="","",IFERROR(INDEX(Denetimler!$C:$C,MATCH($A503,Denetimler!$A:$A,0)),"No yok"))</f>
        <v/>
      </c>
      <c r="I503" s="19" t="str">
        <f aca="false">IF($A503="","",IFERROR(INDEX(Denetimler!$D:$D,MATCH($A503,Denetimler!$A:$A,0)),"No yok"))</f>
        <v/>
      </c>
      <c r="J503" s="19" t="str">
        <f aca="false">IF($A503="","",IFERROR(INDEX(Denetimler!$E:$E,MATCH($A503,Denetimler!$A:$A,0)),"No yok"))</f>
        <v/>
      </c>
      <c r="K503" s="25" t="str">
        <f aca="false">IF($A503="","",IFERROR(INDEX(Denetimler!$B:$B,MATCH($A503,Denetimler!$A:$A,0)),"No yok"))</f>
        <v/>
      </c>
    </row>
    <row r="504" customFormat="false" ht="15" hidden="false" customHeight="false" outlineLevel="0" collapsed="false">
      <c r="D504" s="19" t="str">
        <f aca="false">IF($B504="","",IFERROR(INDEX(Madde_Listesi!$C:$C,MATCH($B504,Madde_Listesi!$B:$B,0)),"Kod yok"))</f>
        <v/>
      </c>
      <c r="E504" s="19" t="str">
        <f aca="false">IF($B504="","",IFERROR(INDEX(Madde_Listesi!$D:$D,MATCH($B504,Madde_Listesi!$B:$B,0)),"Kod yok"))</f>
        <v/>
      </c>
      <c r="F504" s="19" t="str">
        <f aca="false">IF($B504="","",IFERROR(INDEX(Madde_Listesi!$E:$E,MATCH($B504,Madde_Listesi!$B:$B,0)),"Kod yok"))</f>
        <v/>
      </c>
      <c r="G504" s="19" t="str">
        <f aca="false">IF($B504="","",IFERROR(INDEX(Madde_Listesi!$F:$F,MATCH($B504,Madde_Listesi!$B:$B,0)),"Kod yok"))</f>
        <v/>
      </c>
      <c r="H504" s="19" t="str">
        <f aca="false">IF($A504="","",IFERROR(INDEX(Denetimler!$C:$C,MATCH($A504,Denetimler!$A:$A,0)),"No yok"))</f>
        <v/>
      </c>
      <c r="I504" s="19" t="str">
        <f aca="false">IF($A504="","",IFERROR(INDEX(Denetimler!$D:$D,MATCH($A504,Denetimler!$A:$A,0)),"No yok"))</f>
        <v/>
      </c>
      <c r="J504" s="19" t="str">
        <f aca="false">IF($A504="","",IFERROR(INDEX(Denetimler!$E:$E,MATCH($A504,Denetimler!$A:$A,0)),"No yok"))</f>
        <v/>
      </c>
      <c r="K504" s="25" t="str">
        <f aca="false">IF($A504="","",IFERROR(INDEX(Denetimler!$B:$B,MATCH($A504,Denetimler!$A:$A,0)),"No yok"))</f>
        <v/>
      </c>
    </row>
    <row r="505" customFormat="false" ht="15" hidden="false" customHeight="false" outlineLevel="0" collapsed="false">
      <c r="D505" s="19" t="str">
        <f aca="false">IF($B505="","",IFERROR(INDEX(Madde_Listesi!$C:$C,MATCH($B505,Madde_Listesi!$B:$B,0)),"Kod yok"))</f>
        <v/>
      </c>
      <c r="E505" s="19" t="str">
        <f aca="false">IF($B505="","",IFERROR(INDEX(Madde_Listesi!$D:$D,MATCH($B505,Madde_Listesi!$B:$B,0)),"Kod yok"))</f>
        <v/>
      </c>
      <c r="F505" s="19" t="str">
        <f aca="false">IF($B505="","",IFERROR(INDEX(Madde_Listesi!$E:$E,MATCH($B505,Madde_Listesi!$B:$B,0)),"Kod yok"))</f>
        <v/>
      </c>
      <c r="G505" s="19" t="str">
        <f aca="false">IF($B505="","",IFERROR(INDEX(Madde_Listesi!$F:$F,MATCH($B505,Madde_Listesi!$B:$B,0)),"Kod yok"))</f>
        <v/>
      </c>
      <c r="H505" s="19" t="str">
        <f aca="false">IF($A505="","",IFERROR(INDEX(Denetimler!$C:$C,MATCH($A505,Denetimler!$A:$A,0)),"No yok"))</f>
        <v/>
      </c>
      <c r="I505" s="19" t="str">
        <f aca="false">IF($A505="","",IFERROR(INDEX(Denetimler!$D:$D,MATCH($A505,Denetimler!$A:$A,0)),"No yok"))</f>
        <v/>
      </c>
      <c r="J505" s="19" t="str">
        <f aca="false">IF($A505="","",IFERROR(INDEX(Denetimler!$E:$E,MATCH($A505,Denetimler!$A:$A,0)),"No yok"))</f>
        <v/>
      </c>
      <c r="K505" s="25" t="str">
        <f aca="false">IF($A505="","",IFERROR(INDEX(Denetimler!$B:$B,MATCH($A505,Denetimler!$A:$A,0)),"No yok"))</f>
        <v/>
      </c>
    </row>
    <row r="506" customFormat="false" ht="15" hidden="false" customHeight="false" outlineLevel="0" collapsed="false">
      <c r="D506" s="19" t="str">
        <f aca="false">IF($B506="","",IFERROR(INDEX(Madde_Listesi!$C:$C,MATCH($B506,Madde_Listesi!$B:$B,0)),"Kod yok"))</f>
        <v/>
      </c>
      <c r="E506" s="19" t="str">
        <f aca="false">IF($B506="","",IFERROR(INDEX(Madde_Listesi!$D:$D,MATCH($B506,Madde_Listesi!$B:$B,0)),"Kod yok"))</f>
        <v/>
      </c>
      <c r="F506" s="19" t="str">
        <f aca="false">IF($B506="","",IFERROR(INDEX(Madde_Listesi!$E:$E,MATCH($B506,Madde_Listesi!$B:$B,0)),"Kod yok"))</f>
        <v/>
      </c>
      <c r="G506" s="19" t="str">
        <f aca="false">IF($B506="","",IFERROR(INDEX(Madde_Listesi!$F:$F,MATCH($B506,Madde_Listesi!$B:$B,0)),"Kod yok"))</f>
        <v/>
      </c>
      <c r="H506" s="19" t="str">
        <f aca="false">IF($A506="","",IFERROR(INDEX(Denetimler!$C:$C,MATCH($A506,Denetimler!$A:$A,0)),"No yok"))</f>
        <v/>
      </c>
      <c r="I506" s="19" t="str">
        <f aca="false">IF($A506="","",IFERROR(INDEX(Denetimler!$D:$D,MATCH($A506,Denetimler!$A:$A,0)),"No yok"))</f>
        <v/>
      </c>
      <c r="J506" s="19" t="str">
        <f aca="false">IF($A506="","",IFERROR(INDEX(Denetimler!$E:$E,MATCH($A506,Denetimler!$A:$A,0)),"No yok"))</f>
        <v/>
      </c>
      <c r="K506" s="25" t="str">
        <f aca="false">IF($A506="","",IFERROR(INDEX(Denetimler!$B:$B,MATCH($A506,Denetimler!$A:$A,0)),"No yok"))</f>
        <v/>
      </c>
    </row>
    <row r="507" customFormat="false" ht="15" hidden="false" customHeight="false" outlineLevel="0" collapsed="false">
      <c r="D507" s="19" t="str">
        <f aca="false">IF($B507="","",IFERROR(INDEX(Madde_Listesi!$C:$C,MATCH($B507,Madde_Listesi!$B:$B,0)),"Kod yok"))</f>
        <v/>
      </c>
      <c r="E507" s="19" t="str">
        <f aca="false">IF($B507="","",IFERROR(INDEX(Madde_Listesi!$D:$D,MATCH($B507,Madde_Listesi!$B:$B,0)),"Kod yok"))</f>
        <v/>
      </c>
      <c r="F507" s="19" t="str">
        <f aca="false">IF($B507="","",IFERROR(INDEX(Madde_Listesi!$E:$E,MATCH($B507,Madde_Listesi!$B:$B,0)),"Kod yok"))</f>
        <v/>
      </c>
      <c r="G507" s="19" t="str">
        <f aca="false">IF($B507="","",IFERROR(INDEX(Madde_Listesi!$F:$F,MATCH($B507,Madde_Listesi!$B:$B,0)),"Kod yok"))</f>
        <v/>
      </c>
      <c r="H507" s="19" t="str">
        <f aca="false">IF($A507="","",IFERROR(INDEX(Denetimler!$C:$C,MATCH($A507,Denetimler!$A:$A,0)),"No yok"))</f>
        <v/>
      </c>
      <c r="I507" s="19" t="str">
        <f aca="false">IF($A507="","",IFERROR(INDEX(Denetimler!$D:$D,MATCH($A507,Denetimler!$A:$A,0)),"No yok"))</f>
        <v/>
      </c>
      <c r="J507" s="19" t="str">
        <f aca="false">IF($A507="","",IFERROR(INDEX(Denetimler!$E:$E,MATCH($A507,Denetimler!$A:$A,0)),"No yok"))</f>
        <v/>
      </c>
      <c r="K507" s="25" t="str">
        <f aca="false">IF($A507="","",IFERROR(INDEX(Denetimler!$B:$B,MATCH($A507,Denetimler!$A:$A,0)),"No yok"))</f>
        <v/>
      </c>
    </row>
    <row r="508" customFormat="false" ht="15" hidden="false" customHeight="false" outlineLevel="0" collapsed="false">
      <c r="D508" s="19" t="str">
        <f aca="false">IF($B508="","",IFERROR(INDEX(Madde_Listesi!$C:$C,MATCH($B508,Madde_Listesi!$B:$B,0)),"Kod yok"))</f>
        <v/>
      </c>
      <c r="E508" s="19" t="str">
        <f aca="false">IF($B508="","",IFERROR(INDEX(Madde_Listesi!$D:$D,MATCH($B508,Madde_Listesi!$B:$B,0)),"Kod yok"))</f>
        <v/>
      </c>
      <c r="F508" s="19" t="str">
        <f aca="false">IF($B508="","",IFERROR(INDEX(Madde_Listesi!$E:$E,MATCH($B508,Madde_Listesi!$B:$B,0)),"Kod yok"))</f>
        <v/>
      </c>
      <c r="G508" s="19" t="str">
        <f aca="false">IF($B508="","",IFERROR(INDEX(Madde_Listesi!$F:$F,MATCH($B508,Madde_Listesi!$B:$B,0)),"Kod yok"))</f>
        <v/>
      </c>
      <c r="H508" s="19" t="str">
        <f aca="false">IF($A508="","",IFERROR(INDEX(Denetimler!$C:$C,MATCH($A508,Denetimler!$A:$A,0)),"No yok"))</f>
        <v/>
      </c>
      <c r="I508" s="19" t="str">
        <f aca="false">IF($A508="","",IFERROR(INDEX(Denetimler!$D:$D,MATCH($A508,Denetimler!$A:$A,0)),"No yok"))</f>
        <v/>
      </c>
      <c r="J508" s="19" t="str">
        <f aca="false">IF($A508="","",IFERROR(INDEX(Denetimler!$E:$E,MATCH($A508,Denetimler!$A:$A,0)),"No yok"))</f>
        <v/>
      </c>
      <c r="K508" s="25" t="str">
        <f aca="false">IF($A508="","",IFERROR(INDEX(Denetimler!$B:$B,MATCH($A508,Denetimler!$A:$A,0)),"No yok"))</f>
        <v/>
      </c>
    </row>
    <row r="509" customFormat="false" ht="15" hidden="false" customHeight="false" outlineLevel="0" collapsed="false">
      <c r="D509" s="19" t="str">
        <f aca="false">IF($B509="","",IFERROR(INDEX(Madde_Listesi!$C:$C,MATCH($B509,Madde_Listesi!$B:$B,0)),"Kod yok"))</f>
        <v/>
      </c>
      <c r="E509" s="19" t="str">
        <f aca="false">IF($B509="","",IFERROR(INDEX(Madde_Listesi!$D:$D,MATCH($B509,Madde_Listesi!$B:$B,0)),"Kod yok"))</f>
        <v/>
      </c>
      <c r="F509" s="19" t="str">
        <f aca="false">IF($B509="","",IFERROR(INDEX(Madde_Listesi!$E:$E,MATCH($B509,Madde_Listesi!$B:$B,0)),"Kod yok"))</f>
        <v/>
      </c>
      <c r="G509" s="19" t="str">
        <f aca="false">IF($B509="","",IFERROR(INDEX(Madde_Listesi!$F:$F,MATCH($B509,Madde_Listesi!$B:$B,0)),"Kod yok"))</f>
        <v/>
      </c>
      <c r="H509" s="19" t="str">
        <f aca="false">IF($A509="","",IFERROR(INDEX(Denetimler!$C:$C,MATCH($A509,Denetimler!$A:$A,0)),"No yok"))</f>
        <v/>
      </c>
      <c r="I509" s="19" t="str">
        <f aca="false">IF($A509="","",IFERROR(INDEX(Denetimler!$D:$D,MATCH($A509,Denetimler!$A:$A,0)),"No yok"))</f>
        <v/>
      </c>
      <c r="J509" s="19" t="str">
        <f aca="false">IF($A509="","",IFERROR(INDEX(Denetimler!$E:$E,MATCH($A509,Denetimler!$A:$A,0)),"No yok"))</f>
        <v/>
      </c>
      <c r="K509" s="25" t="str">
        <f aca="false">IF($A509="","",IFERROR(INDEX(Denetimler!$B:$B,MATCH($A509,Denetimler!$A:$A,0)),"No yok"))</f>
        <v/>
      </c>
    </row>
    <row r="510" customFormat="false" ht="15" hidden="false" customHeight="false" outlineLevel="0" collapsed="false">
      <c r="D510" s="19" t="str">
        <f aca="false">IF($B510="","",IFERROR(INDEX(Madde_Listesi!$C:$C,MATCH($B510,Madde_Listesi!$B:$B,0)),"Kod yok"))</f>
        <v/>
      </c>
      <c r="E510" s="19" t="str">
        <f aca="false">IF($B510="","",IFERROR(INDEX(Madde_Listesi!$D:$D,MATCH($B510,Madde_Listesi!$B:$B,0)),"Kod yok"))</f>
        <v/>
      </c>
      <c r="F510" s="19" t="str">
        <f aca="false">IF($B510="","",IFERROR(INDEX(Madde_Listesi!$E:$E,MATCH($B510,Madde_Listesi!$B:$B,0)),"Kod yok"))</f>
        <v/>
      </c>
      <c r="G510" s="19" t="str">
        <f aca="false">IF($B510="","",IFERROR(INDEX(Madde_Listesi!$F:$F,MATCH($B510,Madde_Listesi!$B:$B,0)),"Kod yok"))</f>
        <v/>
      </c>
      <c r="H510" s="19" t="str">
        <f aca="false">IF($A510="","",IFERROR(INDEX(Denetimler!$C:$C,MATCH($A510,Denetimler!$A:$A,0)),"No yok"))</f>
        <v/>
      </c>
      <c r="I510" s="19" t="str">
        <f aca="false">IF($A510="","",IFERROR(INDEX(Denetimler!$D:$D,MATCH($A510,Denetimler!$A:$A,0)),"No yok"))</f>
        <v/>
      </c>
      <c r="J510" s="19" t="str">
        <f aca="false">IF($A510="","",IFERROR(INDEX(Denetimler!$E:$E,MATCH($A510,Denetimler!$A:$A,0)),"No yok"))</f>
        <v/>
      </c>
      <c r="K510" s="25" t="str">
        <f aca="false">IF($A510="","",IFERROR(INDEX(Denetimler!$B:$B,MATCH($A510,Denetimler!$A:$A,0)),"No yok"))</f>
        <v/>
      </c>
    </row>
    <row r="511" customFormat="false" ht="15" hidden="false" customHeight="false" outlineLevel="0" collapsed="false">
      <c r="D511" s="19" t="str">
        <f aca="false">IF($B511="","",IFERROR(INDEX(Madde_Listesi!$C:$C,MATCH($B511,Madde_Listesi!$B:$B,0)),"Kod yok"))</f>
        <v/>
      </c>
      <c r="E511" s="19" t="str">
        <f aca="false">IF($B511="","",IFERROR(INDEX(Madde_Listesi!$D:$D,MATCH($B511,Madde_Listesi!$B:$B,0)),"Kod yok"))</f>
        <v/>
      </c>
      <c r="F511" s="19" t="str">
        <f aca="false">IF($B511="","",IFERROR(INDEX(Madde_Listesi!$E:$E,MATCH($B511,Madde_Listesi!$B:$B,0)),"Kod yok"))</f>
        <v/>
      </c>
      <c r="G511" s="19" t="str">
        <f aca="false">IF($B511="","",IFERROR(INDEX(Madde_Listesi!$F:$F,MATCH($B511,Madde_Listesi!$B:$B,0)),"Kod yok"))</f>
        <v/>
      </c>
      <c r="H511" s="19" t="str">
        <f aca="false">IF($A511="","",IFERROR(INDEX(Denetimler!$C:$C,MATCH($A511,Denetimler!$A:$A,0)),"No yok"))</f>
        <v/>
      </c>
      <c r="I511" s="19" t="str">
        <f aca="false">IF($A511="","",IFERROR(INDEX(Denetimler!$D:$D,MATCH($A511,Denetimler!$A:$A,0)),"No yok"))</f>
        <v/>
      </c>
      <c r="J511" s="19" t="str">
        <f aca="false">IF($A511="","",IFERROR(INDEX(Denetimler!$E:$E,MATCH($A511,Denetimler!$A:$A,0)),"No yok"))</f>
        <v/>
      </c>
      <c r="K511" s="25" t="str">
        <f aca="false">IF($A511="","",IFERROR(INDEX(Denetimler!$B:$B,MATCH($A511,Denetimler!$A:$A,0)),"No yok"))</f>
        <v/>
      </c>
    </row>
    <row r="512" customFormat="false" ht="15" hidden="false" customHeight="false" outlineLevel="0" collapsed="false">
      <c r="D512" s="19" t="str">
        <f aca="false">IF($B512="","",IFERROR(INDEX(Madde_Listesi!$C:$C,MATCH($B512,Madde_Listesi!$B:$B,0)),"Kod yok"))</f>
        <v/>
      </c>
      <c r="E512" s="19" t="str">
        <f aca="false">IF($B512="","",IFERROR(INDEX(Madde_Listesi!$D:$D,MATCH($B512,Madde_Listesi!$B:$B,0)),"Kod yok"))</f>
        <v/>
      </c>
      <c r="F512" s="19" t="str">
        <f aca="false">IF($B512="","",IFERROR(INDEX(Madde_Listesi!$E:$E,MATCH($B512,Madde_Listesi!$B:$B,0)),"Kod yok"))</f>
        <v/>
      </c>
      <c r="G512" s="19" t="str">
        <f aca="false">IF($B512="","",IFERROR(INDEX(Madde_Listesi!$F:$F,MATCH($B512,Madde_Listesi!$B:$B,0)),"Kod yok"))</f>
        <v/>
      </c>
      <c r="H512" s="19" t="str">
        <f aca="false">IF($A512="","",IFERROR(INDEX(Denetimler!$C:$C,MATCH($A512,Denetimler!$A:$A,0)),"No yok"))</f>
        <v/>
      </c>
      <c r="I512" s="19" t="str">
        <f aca="false">IF($A512="","",IFERROR(INDEX(Denetimler!$D:$D,MATCH($A512,Denetimler!$A:$A,0)),"No yok"))</f>
        <v/>
      </c>
      <c r="J512" s="19" t="str">
        <f aca="false">IF($A512="","",IFERROR(INDEX(Denetimler!$E:$E,MATCH($A512,Denetimler!$A:$A,0)),"No yok"))</f>
        <v/>
      </c>
      <c r="K512" s="25" t="str">
        <f aca="false">IF($A512="","",IFERROR(INDEX(Denetimler!$B:$B,MATCH($A512,Denetimler!$A:$A,0)),"No yok"))</f>
        <v/>
      </c>
    </row>
    <row r="513" customFormat="false" ht="15" hidden="false" customHeight="false" outlineLevel="0" collapsed="false">
      <c r="D513" s="19" t="str">
        <f aca="false">IF($B513="","",IFERROR(INDEX(Madde_Listesi!$C:$C,MATCH($B513,Madde_Listesi!$B:$B,0)),"Kod yok"))</f>
        <v/>
      </c>
      <c r="E513" s="19" t="str">
        <f aca="false">IF($B513="","",IFERROR(INDEX(Madde_Listesi!$D:$D,MATCH($B513,Madde_Listesi!$B:$B,0)),"Kod yok"))</f>
        <v/>
      </c>
      <c r="F513" s="19" t="str">
        <f aca="false">IF($B513="","",IFERROR(INDEX(Madde_Listesi!$E:$E,MATCH($B513,Madde_Listesi!$B:$B,0)),"Kod yok"))</f>
        <v/>
      </c>
      <c r="G513" s="19" t="str">
        <f aca="false">IF($B513="","",IFERROR(INDEX(Madde_Listesi!$F:$F,MATCH($B513,Madde_Listesi!$B:$B,0)),"Kod yok"))</f>
        <v/>
      </c>
      <c r="H513" s="19" t="str">
        <f aca="false">IF($A513="","",IFERROR(INDEX(Denetimler!$C:$C,MATCH($A513,Denetimler!$A:$A,0)),"No yok"))</f>
        <v/>
      </c>
      <c r="I513" s="19" t="str">
        <f aca="false">IF($A513="","",IFERROR(INDEX(Denetimler!$D:$D,MATCH($A513,Denetimler!$A:$A,0)),"No yok"))</f>
        <v/>
      </c>
      <c r="J513" s="19" t="str">
        <f aca="false">IF($A513="","",IFERROR(INDEX(Denetimler!$E:$E,MATCH($A513,Denetimler!$A:$A,0)),"No yok"))</f>
        <v/>
      </c>
      <c r="K513" s="25" t="str">
        <f aca="false">IF($A513="","",IFERROR(INDEX(Denetimler!$B:$B,MATCH($A513,Denetimler!$A:$A,0)),"No yok"))</f>
        <v/>
      </c>
    </row>
    <row r="514" customFormat="false" ht="15" hidden="false" customHeight="false" outlineLevel="0" collapsed="false">
      <c r="D514" s="19" t="str">
        <f aca="false">IF($B514="","",IFERROR(INDEX(Madde_Listesi!$C:$C,MATCH($B514,Madde_Listesi!$B:$B,0)),"Kod yok"))</f>
        <v/>
      </c>
      <c r="E514" s="19" t="str">
        <f aca="false">IF($B514="","",IFERROR(INDEX(Madde_Listesi!$D:$D,MATCH($B514,Madde_Listesi!$B:$B,0)),"Kod yok"))</f>
        <v/>
      </c>
      <c r="F514" s="19" t="str">
        <f aca="false">IF($B514="","",IFERROR(INDEX(Madde_Listesi!$E:$E,MATCH($B514,Madde_Listesi!$B:$B,0)),"Kod yok"))</f>
        <v/>
      </c>
      <c r="G514" s="19" t="str">
        <f aca="false">IF($B514="","",IFERROR(INDEX(Madde_Listesi!$F:$F,MATCH($B514,Madde_Listesi!$B:$B,0)),"Kod yok"))</f>
        <v/>
      </c>
      <c r="H514" s="19" t="str">
        <f aca="false">IF($A514="","",IFERROR(INDEX(Denetimler!$C:$C,MATCH($A514,Denetimler!$A:$A,0)),"No yok"))</f>
        <v/>
      </c>
      <c r="I514" s="19" t="str">
        <f aca="false">IF($A514="","",IFERROR(INDEX(Denetimler!$D:$D,MATCH($A514,Denetimler!$A:$A,0)),"No yok"))</f>
        <v/>
      </c>
      <c r="J514" s="19" t="str">
        <f aca="false">IF($A514="","",IFERROR(INDEX(Denetimler!$E:$E,MATCH($A514,Denetimler!$A:$A,0)),"No yok"))</f>
        <v/>
      </c>
      <c r="K514" s="25" t="str">
        <f aca="false">IF($A514="","",IFERROR(INDEX(Denetimler!$B:$B,MATCH($A514,Denetimler!$A:$A,0)),"No yok"))</f>
        <v/>
      </c>
    </row>
    <row r="515" customFormat="false" ht="15" hidden="false" customHeight="false" outlineLevel="0" collapsed="false">
      <c r="D515" s="19" t="str">
        <f aca="false">IF($B515="","",IFERROR(INDEX(Madde_Listesi!$C:$C,MATCH($B515,Madde_Listesi!$B:$B,0)),"Kod yok"))</f>
        <v/>
      </c>
      <c r="E515" s="19" t="str">
        <f aca="false">IF($B515="","",IFERROR(INDEX(Madde_Listesi!$D:$D,MATCH($B515,Madde_Listesi!$B:$B,0)),"Kod yok"))</f>
        <v/>
      </c>
      <c r="F515" s="19" t="str">
        <f aca="false">IF($B515="","",IFERROR(INDEX(Madde_Listesi!$E:$E,MATCH($B515,Madde_Listesi!$B:$B,0)),"Kod yok"))</f>
        <v/>
      </c>
      <c r="G515" s="19" t="str">
        <f aca="false">IF($B515="","",IFERROR(INDEX(Madde_Listesi!$F:$F,MATCH($B515,Madde_Listesi!$B:$B,0)),"Kod yok"))</f>
        <v/>
      </c>
      <c r="H515" s="19" t="str">
        <f aca="false">IF($A515="","",IFERROR(INDEX(Denetimler!$C:$C,MATCH($A515,Denetimler!$A:$A,0)),"No yok"))</f>
        <v/>
      </c>
      <c r="I515" s="19" t="str">
        <f aca="false">IF($A515="","",IFERROR(INDEX(Denetimler!$D:$D,MATCH($A515,Denetimler!$A:$A,0)),"No yok"))</f>
        <v/>
      </c>
      <c r="J515" s="19" t="str">
        <f aca="false">IF($A515="","",IFERROR(INDEX(Denetimler!$E:$E,MATCH($A515,Denetimler!$A:$A,0)),"No yok"))</f>
        <v/>
      </c>
      <c r="K515" s="25" t="str">
        <f aca="false">IF($A515="","",IFERROR(INDEX(Denetimler!$B:$B,MATCH($A515,Denetimler!$A:$A,0)),"No yok"))</f>
        <v/>
      </c>
    </row>
    <row r="516" customFormat="false" ht="15" hidden="false" customHeight="false" outlineLevel="0" collapsed="false">
      <c r="D516" s="19" t="str">
        <f aca="false">IF($B516="","",IFERROR(INDEX(Madde_Listesi!$C:$C,MATCH($B516,Madde_Listesi!$B:$B,0)),"Kod yok"))</f>
        <v/>
      </c>
      <c r="E516" s="19" t="str">
        <f aca="false">IF($B516="","",IFERROR(INDEX(Madde_Listesi!$D:$D,MATCH($B516,Madde_Listesi!$B:$B,0)),"Kod yok"))</f>
        <v/>
      </c>
      <c r="F516" s="19" t="str">
        <f aca="false">IF($B516="","",IFERROR(INDEX(Madde_Listesi!$E:$E,MATCH($B516,Madde_Listesi!$B:$B,0)),"Kod yok"))</f>
        <v/>
      </c>
      <c r="G516" s="19" t="str">
        <f aca="false">IF($B516="","",IFERROR(INDEX(Madde_Listesi!$F:$F,MATCH($B516,Madde_Listesi!$B:$B,0)),"Kod yok"))</f>
        <v/>
      </c>
      <c r="H516" s="19" t="str">
        <f aca="false">IF($A516="","",IFERROR(INDEX(Denetimler!$C:$C,MATCH($A516,Denetimler!$A:$A,0)),"No yok"))</f>
        <v/>
      </c>
      <c r="I516" s="19" t="str">
        <f aca="false">IF($A516="","",IFERROR(INDEX(Denetimler!$D:$D,MATCH($A516,Denetimler!$A:$A,0)),"No yok"))</f>
        <v/>
      </c>
      <c r="J516" s="19" t="str">
        <f aca="false">IF($A516="","",IFERROR(INDEX(Denetimler!$E:$E,MATCH($A516,Denetimler!$A:$A,0)),"No yok"))</f>
        <v/>
      </c>
      <c r="K516" s="25" t="str">
        <f aca="false">IF($A516="","",IFERROR(INDEX(Denetimler!$B:$B,MATCH($A516,Denetimler!$A:$A,0)),"No yok"))</f>
        <v/>
      </c>
    </row>
    <row r="517" customFormat="false" ht="15" hidden="false" customHeight="false" outlineLevel="0" collapsed="false">
      <c r="D517" s="19" t="str">
        <f aca="false">IF($B517="","",IFERROR(INDEX(Madde_Listesi!$C:$C,MATCH($B517,Madde_Listesi!$B:$B,0)),"Kod yok"))</f>
        <v/>
      </c>
      <c r="E517" s="19" t="str">
        <f aca="false">IF($B517="","",IFERROR(INDEX(Madde_Listesi!$D:$D,MATCH($B517,Madde_Listesi!$B:$B,0)),"Kod yok"))</f>
        <v/>
      </c>
      <c r="F517" s="19" t="str">
        <f aca="false">IF($B517="","",IFERROR(INDEX(Madde_Listesi!$E:$E,MATCH($B517,Madde_Listesi!$B:$B,0)),"Kod yok"))</f>
        <v/>
      </c>
      <c r="G517" s="19" t="str">
        <f aca="false">IF($B517="","",IFERROR(INDEX(Madde_Listesi!$F:$F,MATCH($B517,Madde_Listesi!$B:$B,0)),"Kod yok"))</f>
        <v/>
      </c>
      <c r="H517" s="19" t="str">
        <f aca="false">IF($A517="","",IFERROR(INDEX(Denetimler!$C:$C,MATCH($A517,Denetimler!$A:$A,0)),"No yok"))</f>
        <v/>
      </c>
      <c r="I517" s="19" t="str">
        <f aca="false">IF($A517="","",IFERROR(INDEX(Denetimler!$D:$D,MATCH($A517,Denetimler!$A:$A,0)),"No yok"))</f>
        <v/>
      </c>
      <c r="J517" s="19" t="str">
        <f aca="false">IF($A517="","",IFERROR(INDEX(Denetimler!$E:$E,MATCH($A517,Denetimler!$A:$A,0)),"No yok"))</f>
        <v/>
      </c>
      <c r="K517" s="25" t="str">
        <f aca="false">IF($A517="","",IFERROR(INDEX(Denetimler!$B:$B,MATCH($A517,Denetimler!$A:$A,0)),"No yok"))</f>
        <v/>
      </c>
    </row>
    <row r="518" customFormat="false" ht="15" hidden="false" customHeight="false" outlineLevel="0" collapsed="false">
      <c r="D518" s="19" t="str">
        <f aca="false">IF($B518="","",IFERROR(INDEX(Madde_Listesi!$C:$C,MATCH($B518,Madde_Listesi!$B:$B,0)),"Kod yok"))</f>
        <v/>
      </c>
      <c r="E518" s="19" t="str">
        <f aca="false">IF($B518="","",IFERROR(INDEX(Madde_Listesi!$D:$D,MATCH($B518,Madde_Listesi!$B:$B,0)),"Kod yok"))</f>
        <v/>
      </c>
      <c r="F518" s="19" t="str">
        <f aca="false">IF($B518="","",IFERROR(INDEX(Madde_Listesi!$E:$E,MATCH($B518,Madde_Listesi!$B:$B,0)),"Kod yok"))</f>
        <v/>
      </c>
      <c r="G518" s="19" t="str">
        <f aca="false">IF($B518="","",IFERROR(INDEX(Madde_Listesi!$F:$F,MATCH($B518,Madde_Listesi!$B:$B,0)),"Kod yok"))</f>
        <v/>
      </c>
      <c r="H518" s="19" t="str">
        <f aca="false">IF($A518="","",IFERROR(INDEX(Denetimler!$C:$C,MATCH($A518,Denetimler!$A:$A,0)),"No yok"))</f>
        <v/>
      </c>
      <c r="I518" s="19" t="str">
        <f aca="false">IF($A518="","",IFERROR(INDEX(Denetimler!$D:$D,MATCH($A518,Denetimler!$A:$A,0)),"No yok"))</f>
        <v/>
      </c>
      <c r="J518" s="19" t="str">
        <f aca="false">IF($A518="","",IFERROR(INDEX(Denetimler!$E:$E,MATCH($A518,Denetimler!$A:$A,0)),"No yok"))</f>
        <v/>
      </c>
      <c r="K518" s="25" t="str">
        <f aca="false">IF($A518="","",IFERROR(INDEX(Denetimler!$B:$B,MATCH($A518,Denetimler!$A:$A,0)),"No yok"))</f>
        <v/>
      </c>
    </row>
    <row r="519" customFormat="false" ht="15" hidden="false" customHeight="false" outlineLevel="0" collapsed="false">
      <c r="D519" s="19" t="str">
        <f aca="false">IF($B519="","",IFERROR(INDEX(Madde_Listesi!$C:$C,MATCH($B519,Madde_Listesi!$B:$B,0)),"Kod yok"))</f>
        <v/>
      </c>
      <c r="E519" s="19" t="str">
        <f aca="false">IF($B519="","",IFERROR(INDEX(Madde_Listesi!$D:$D,MATCH($B519,Madde_Listesi!$B:$B,0)),"Kod yok"))</f>
        <v/>
      </c>
      <c r="F519" s="19" t="str">
        <f aca="false">IF($B519="","",IFERROR(INDEX(Madde_Listesi!$E:$E,MATCH($B519,Madde_Listesi!$B:$B,0)),"Kod yok"))</f>
        <v/>
      </c>
      <c r="G519" s="19" t="str">
        <f aca="false">IF($B519="","",IFERROR(INDEX(Madde_Listesi!$F:$F,MATCH($B519,Madde_Listesi!$B:$B,0)),"Kod yok"))</f>
        <v/>
      </c>
      <c r="H519" s="19" t="str">
        <f aca="false">IF($A519="","",IFERROR(INDEX(Denetimler!$C:$C,MATCH($A519,Denetimler!$A:$A,0)),"No yok"))</f>
        <v/>
      </c>
      <c r="I519" s="19" t="str">
        <f aca="false">IF($A519="","",IFERROR(INDEX(Denetimler!$D:$D,MATCH($A519,Denetimler!$A:$A,0)),"No yok"))</f>
        <v/>
      </c>
      <c r="J519" s="19" t="str">
        <f aca="false">IF($A519="","",IFERROR(INDEX(Denetimler!$E:$E,MATCH($A519,Denetimler!$A:$A,0)),"No yok"))</f>
        <v/>
      </c>
      <c r="K519" s="25" t="str">
        <f aca="false">IF($A519="","",IFERROR(INDEX(Denetimler!$B:$B,MATCH($A519,Denetimler!$A:$A,0)),"No yok"))</f>
        <v/>
      </c>
    </row>
    <row r="520" customFormat="false" ht="15" hidden="false" customHeight="false" outlineLevel="0" collapsed="false">
      <c r="D520" s="19" t="str">
        <f aca="false">IF($B520="","",IFERROR(INDEX(Madde_Listesi!$C:$C,MATCH($B520,Madde_Listesi!$B:$B,0)),"Kod yok"))</f>
        <v/>
      </c>
      <c r="E520" s="19" t="str">
        <f aca="false">IF($B520="","",IFERROR(INDEX(Madde_Listesi!$D:$D,MATCH($B520,Madde_Listesi!$B:$B,0)),"Kod yok"))</f>
        <v/>
      </c>
      <c r="F520" s="19" t="str">
        <f aca="false">IF($B520="","",IFERROR(INDEX(Madde_Listesi!$E:$E,MATCH($B520,Madde_Listesi!$B:$B,0)),"Kod yok"))</f>
        <v/>
      </c>
      <c r="G520" s="19" t="str">
        <f aca="false">IF($B520="","",IFERROR(INDEX(Madde_Listesi!$F:$F,MATCH($B520,Madde_Listesi!$B:$B,0)),"Kod yok"))</f>
        <v/>
      </c>
      <c r="H520" s="19" t="str">
        <f aca="false">IF($A520="","",IFERROR(INDEX(Denetimler!$C:$C,MATCH($A520,Denetimler!$A:$A,0)),"No yok"))</f>
        <v/>
      </c>
      <c r="I520" s="19" t="str">
        <f aca="false">IF($A520="","",IFERROR(INDEX(Denetimler!$D:$D,MATCH($A520,Denetimler!$A:$A,0)),"No yok"))</f>
        <v/>
      </c>
      <c r="J520" s="19" t="str">
        <f aca="false">IF($A520="","",IFERROR(INDEX(Denetimler!$E:$E,MATCH($A520,Denetimler!$A:$A,0)),"No yok"))</f>
        <v/>
      </c>
      <c r="K520" s="25" t="str">
        <f aca="false">IF($A520="","",IFERROR(INDEX(Denetimler!$B:$B,MATCH($A520,Denetimler!$A:$A,0)),"No yok"))</f>
        <v/>
      </c>
    </row>
    <row r="521" customFormat="false" ht="15" hidden="false" customHeight="false" outlineLevel="0" collapsed="false">
      <c r="D521" s="19" t="str">
        <f aca="false">IF($B521="","",IFERROR(INDEX(Madde_Listesi!$C:$C,MATCH($B521,Madde_Listesi!$B:$B,0)),"Kod yok"))</f>
        <v/>
      </c>
      <c r="E521" s="19" t="str">
        <f aca="false">IF($B521="","",IFERROR(INDEX(Madde_Listesi!$D:$D,MATCH($B521,Madde_Listesi!$B:$B,0)),"Kod yok"))</f>
        <v/>
      </c>
      <c r="F521" s="19" t="str">
        <f aca="false">IF($B521="","",IFERROR(INDEX(Madde_Listesi!$E:$E,MATCH($B521,Madde_Listesi!$B:$B,0)),"Kod yok"))</f>
        <v/>
      </c>
      <c r="G521" s="19" t="str">
        <f aca="false">IF($B521="","",IFERROR(INDEX(Madde_Listesi!$F:$F,MATCH($B521,Madde_Listesi!$B:$B,0)),"Kod yok"))</f>
        <v/>
      </c>
      <c r="H521" s="19" t="str">
        <f aca="false">IF($A521="","",IFERROR(INDEX(Denetimler!$C:$C,MATCH($A521,Denetimler!$A:$A,0)),"No yok"))</f>
        <v/>
      </c>
      <c r="I521" s="19" t="str">
        <f aca="false">IF($A521="","",IFERROR(INDEX(Denetimler!$D:$D,MATCH($A521,Denetimler!$A:$A,0)),"No yok"))</f>
        <v/>
      </c>
      <c r="J521" s="19" t="str">
        <f aca="false">IF($A521="","",IFERROR(INDEX(Denetimler!$E:$E,MATCH($A521,Denetimler!$A:$A,0)),"No yok"))</f>
        <v/>
      </c>
      <c r="K521" s="25" t="str">
        <f aca="false">IF($A521="","",IFERROR(INDEX(Denetimler!$B:$B,MATCH($A521,Denetimler!$A:$A,0)),"No yok"))</f>
        <v/>
      </c>
    </row>
    <row r="522" customFormat="false" ht="15" hidden="false" customHeight="false" outlineLevel="0" collapsed="false">
      <c r="D522" s="19" t="str">
        <f aca="false">IF($B522="","",IFERROR(INDEX(Madde_Listesi!$C:$C,MATCH($B522,Madde_Listesi!$B:$B,0)),"Kod yok"))</f>
        <v/>
      </c>
      <c r="E522" s="19" t="str">
        <f aca="false">IF($B522="","",IFERROR(INDEX(Madde_Listesi!$D:$D,MATCH($B522,Madde_Listesi!$B:$B,0)),"Kod yok"))</f>
        <v/>
      </c>
      <c r="F522" s="19" t="str">
        <f aca="false">IF($B522="","",IFERROR(INDEX(Madde_Listesi!$E:$E,MATCH($B522,Madde_Listesi!$B:$B,0)),"Kod yok"))</f>
        <v/>
      </c>
      <c r="G522" s="19" t="str">
        <f aca="false">IF($B522="","",IFERROR(INDEX(Madde_Listesi!$F:$F,MATCH($B522,Madde_Listesi!$B:$B,0)),"Kod yok"))</f>
        <v/>
      </c>
      <c r="H522" s="19" t="str">
        <f aca="false">IF($A522="","",IFERROR(INDEX(Denetimler!$C:$C,MATCH($A522,Denetimler!$A:$A,0)),"No yok"))</f>
        <v/>
      </c>
      <c r="I522" s="19" t="str">
        <f aca="false">IF($A522="","",IFERROR(INDEX(Denetimler!$D:$D,MATCH($A522,Denetimler!$A:$A,0)),"No yok"))</f>
        <v/>
      </c>
      <c r="J522" s="19" t="str">
        <f aca="false">IF($A522="","",IFERROR(INDEX(Denetimler!$E:$E,MATCH($A522,Denetimler!$A:$A,0)),"No yok"))</f>
        <v/>
      </c>
      <c r="K522" s="25" t="str">
        <f aca="false">IF($A522="","",IFERROR(INDEX(Denetimler!$B:$B,MATCH($A522,Denetimler!$A:$A,0)),"No yok"))</f>
        <v/>
      </c>
    </row>
    <row r="523" customFormat="false" ht="15" hidden="false" customHeight="false" outlineLevel="0" collapsed="false">
      <c r="D523" s="19" t="str">
        <f aca="false">IF($B523="","",IFERROR(INDEX(Madde_Listesi!$C:$C,MATCH($B523,Madde_Listesi!$B:$B,0)),"Kod yok"))</f>
        <v/>
      </c>
      <c r="E523" s="19" t="str">
        <f aca="false">IF($B523="","",IFERROR(INDEX(Madde_Listesi!$D:$D,MATCH($B523,Madde_Listesi!$B:$B,0)),"Kod yok"))</f>
        <v/>
      </c>
      <c r="F523" s="19" t="str">
        <f aca="false">IF($B523="","",IFERROR(INDEX(Madde_Listesi!$E:$E,MATCH($B523,Madde_Listesi!$B:$B,0)),"Kod yok"))</f>
        <v/>
      </c>
      <c r="G523" s="19" t="str">
        <f aca="false">IF($B523="","",IFERROR(INDEX(Madde_Listesi!$F:$F,MATCH($B523,Madde_Listesi!$B:$B,0)),"Kod yok"))</f>
        <v/>
      </c>
      <c r="H523" s="19" t="str">
        <f aca="false">IF($A523="","",IFERROR(INDEX(Denetimler!$C:$C,MATCH($A523,Denetimler!$A:$A,0)),"No yok"))</f>
        <v/>
      </c>
      <c r="I523" s="19" t="str">
        <f aca="false">IF($A523="","",IFERROR(INDEX(Denetimler!$D:$D,MATCH($A523,Denetimler!$A:$A,0)),"No yok"))</f>
        <v/>
      </c>
      <c r="J523" s="19" t="str">
        <f aca="false">IF($A523="","",IFERROR(INDEX(Denetimler!$E:$E,MATCH($A523,Denetimler!$A:$A,0)),"No yok"))</f>
        <v/>
      </c>
      <c r="K523" s="25" t="str">
        <f aca="false">IF($A523="","",IFERROR(INDEX(Denetimler!$B:$B,MATCH($A523,Denetimler!$A:$A,0)),"No yok"))</f>
        <v/>
      </c>
    </row>
    <row r="524" customFormat="false" ht="15" hidden="false" customHeight="false" outlineLevel="0" collapsed="false">
      <c r="D524" s="19" t="str">
        <f aca="false">IF($B524="","",IFERROR(INDEX(Madde_Listesi!$C:$C,MATCH($B524,Madde_Listesi!$B:$B,0)),"Kod yok"))</f>
        <v/>
      </c>
      <c r="E524" s="19" t="str">
        <f aca="false">IF($B524="","",IFERROR(INDEX(Madde_Listesi!$D:$D,MATCH($B524,Madde_Listesi!$B:$B,0)),"Kod yok"))</f>
        <v/>
      </c>
      <c r="F524" s="19" t="str">
        <f aca="false">IF($B524="","",IFERROR(INDEX(Madde_Listesi!$E:$E,MATCH($B524,Madde_Listesi!$B:$B,0)),"Kod yok"))</f>
        <v/>
      </c>
      <c r="G524" s="19" t="str">
        <f aca="false">IF($B524="","",IFERROR(INDEX(Madde_Listesi!$F:$F,MATCH($B524,Madde_Listesi!$B:$B,0)),"Kod yok"))</f>
        <v/>
      </c>
      <c r="H524" s="19" t="str">
        <f aca="false">IF($A524="","",IFERROR(INDEX(Denetimler!$C:$C,MATCH($A524,Denetimler!$A:$A,0)),"No yok"))</f>
        <v/>
      </c>
      <c r="I524" s="19" t="str">
        <f aca="false">IF($A524="","",IFERROR(INDEX(Denetimler!$D:$D,MATCH($A524,Denetimler!$A:$A,0)),"No yok"))</f>
        <v/>
      </c>
      <c r="J524" s="19" t="str">
        <f aca="false">IF($A524="","",IFERROR(INDEX(Denetimler!$E:$E,MATCH($A524,Denetimler!$A:$A,0)),"No yok"))</f>
        <v/>
      </c>
      <c r="K524" s="25" t="str">
        <f aca="false">IF($A524="","",IFERROR(INDEX(Denetimler!$B:$B,MATCH($A524,Denetimler!$A:$A,0)),"No yok"))</f>
        <v/>
      </c>
    </row>
    <row r="525" customFormat="false" ht="15" hidden="false" customHeight="false" outlineLevel="0" collapsed="false">
      <c r="D525" s="19" t="str">
        <f aca="false">IF($B525="","",IFERROR(INDEX(Madde_Listesi!$C:$C,MATCH($B525,Madde_Listesi!$B:$B,0)),"Kod yok"))</f>
        <v/>
      </c>
      <c r="E525" s="19" t="str">
        <f aca="false">IF($B525="","",IFERROR(INDEX(Madde_Listesi!$D:$D,MATCH($B525,Madde_Listesi!$B:$B,0)),"Kod yok"))</f>
        <v/>
      </c>
      <c r="F525" s="19" t="str">
        <f aca="false">IF($B525="","",IFERROR(INDEX(Madde_Listesi!$E:$E,MATCH($B525,Madde_Listesi!$B:$B,0)),"Kod yok"))</f>
        <v/>
      </c>
      <c r="G525" s="19" t="str">
        <f aca="false">IF($B525="","",IFERROR(INDEX(Madde_Listesi!$F:$F,MATCH($B525,Madde_Listesi!$B:$B,0)),"Kod yok"))</f>
        <v/>
      </c>
      <c r="H525" s="19" t="str">
        <f aca="false">IF($A525="","",IFERROR(INDEX(Denetimler!$C:$C,MATCH($A525,Denetimler!$A:$A,0)),"No yok"))</f>
        <v/>
      </c>
      <c r="I525" s="19" t="str">
        <f aca="false">IF($A525="","",IFERROR(INDEX(Denetimler!$D:$D,MATCH($A525,Denetimler!$A:$A,0)),"No yok"))</f>
        <v/>
      </c>
      <c r="J525" s="19" t="str">
        <f aca="false">IF($A525="","",IFERROR(INDEX(Denetimler!$E:$E,MATCH($A525,Denetimler!$A:$A,0)),"No yok"))</f>
        <v/>
      </c>
      <c r="K525" s="25" t="str">
        <f aca="false">IF($A525="","",IFERROR(INDEX(Denetimler!$B:$B,MATCH($A525,Denetimler!$A:$A,0)),"No yok"))</f>
        <v/>
      </c>
    </row>
    <row r="526" customFormat="false" ht="15" hidden="false" customHeight="false" outlineLevel="0" collapsed="false">
      <c r="D526" s="19" t="str">
        <f aca="false">IF($B526="","",IFERROR(INDEX(Madde_Listesi!$C:$C,MATCH($B526,Madde_Listesi!$B:$B,0)),"Kod yok"))</f>
        <v/>
      </c>
      <c r="E526" s="19" t="str">
        <f aca="false">IF($B526="","",IFERROR(INDEX(Madde_Listesi!$D:$D,MATCH($B526,Madde_Listesi!$B:$B,0)),"Kod yok"))</f>
        <v/>
      </c>
      <c r="F526" s="19" t="str">
        <f aca="false">IF($B526="","",IFERROR(INDEX(Madde_Listesi!$E:$E,MATCH($B526,Madde_Listesi!$B:$B,0)),"Kod yok"))</f>
        <v/>
      </c>
      <c r="G526" s="19" t="str">
        <f aca="false">IF($B526="","",IFERROR(INDEX(Madde_Listesi!$F:$F,MATCH($B526,Madde_Listesi!$B:$B,0)),"Kod yok"))</f>
        <v/>
      </c>
      <c r="H526" s="19" t="str">
        <f aca="false">IF($A526="","",IFERROR(INDEX(Denetimler!$C:$C,MATCH($A526,Denetimler!$A:$A,0)),"No yok"))</f>
        <v/>
      </c>
      <c r="I526" s="19" t="str">
        <f aca="false">IF($A526="","",IFERROR(INDEX(Denetimler!$D:$D,MATCH($A526,Denetimler!$A:$A,0)),"No yok"))</f>
        <v/>
      </c>
      <c r="J526" s="19" t="str">
        <f aca="false">IF($A526="","",IFERROR(INDEX(Denetimler!$E:$E,MATCH($A526,Denetimler!$A:$A,0)),"No yok"))</f>
        <v/>
      </c>
      <c r="K526" s="25" t="str">
        <f aca="false">IF($A526="","",IFERROR(INDEX(Denetimler!$B:$B,MATCH($A526,Denetimler!$A:$A,0)),"No yok"))</f>
        <v/>
      </c>
    </row>
    <row r="527" customFormat="false" ht="15" hidden="false" customHeight="false" outlineLevel="0" collapsed="false">
      <c r="D527" s="19" t="str">
        <f aca="false">IF($B527="","",IFERROR(INDEX(Madde_Listesi!$C:$C,MATCH($B527,Madde_Listesi!$B:$B,0)),"Kod yok"))</f>
        <v/>
      </c>
      <c r="E527" s="19" t="str">
        <f aca="false">IF($B527="","",IFERROR(INDEX(Madde_Listesi!$D:$D,MATCH($B527,Madde_Listesi!$B:$B,0)),"Kod yok"))</f>
        <v/>
      </c>
      <c r="F527" s="19" t="str">
        <f aca="false">IF($B527="","",IFERROR(INDEX(Madde_Listesi!$E:$E,MATCH($B527,Madde_Listesi!$B:$B,0)),"Kod yok"))</f>
        <v/>
      </c>
      <c r="G527" s="19" t="str">
        <f aca="false">IF($B527="","",IFERROR(INDEX(Madde_Listesi!$F:$F,MATCH($B527,Madde_Listesi!$B:$B,0)),"Kod yok"))</f>
        <v/>
      </c>
      <c r="H527" s="19" t="str">
        <f aca="false">IF($A527="","",IFERROR(INDEX(Denetimler!$C:$C,MATCH($A527,Denetimler!$A:$A,0)),"No yok"))</f>
        <v/>
      </c>
      <c r="I527" s="19" t="str">
        <f aca="false">IF($A527="","",IFERROR(INDEX(Denetimler!$D:$D,MATCH($A527,Denetimler!$A:$A,0)),"No yok"))</f>
        <v/>
      </c>
      <c r="J527" s="19" t="str">
        <f aca="false">IF($A527="","",IFERROR(INDEX(Denetimler!$E:$E,MATCH($A527,Denetimler!$A:$A,0)),"No yok"))</f>
        <v/>
      </c>
      <c r="K527" s="25" t="str">
        <f aca="false">IF($A527="","",IFERROR(INDEX(Denetimler!$B:$B,MATCH($A527,Denetimler!$A:$A,0)),"No yok"))</f>
        <v/>
      </c>
    </row>
    <row r="528" customFormat="false" ht="15" hidden="false" customHeight="false" outlineLevel="0" collapsed="false">
      <c r="D528" s="19" t="str">
        <f aca="false">IF($B528="","",IFERROR(INDEX(Madde_Listesi!$C:$C,MATCH($B528,Madde_Listesi!$B:$B,0)),"Kod yok"))</f>
        <v/>
      </c>
      <c r="E528" s="19" t="str">
        <f aca="false">IF($B528="","",IFERROR(INDEX(Madde_Listesi!$D:$D,MATCH($B528,Madde_Listesi!$B:$B,0)),"Kod yok"))</f>
        <v/>
      </c>
      <c r="F528" s="19" t="str">
        <f aca="false">IF($B528="","",IFERROR(INDEX(Madde_Listesi!$E:$E,MATCH($B528,Madde_Listesi!$B:$B,0)),"Kod yok"))</f>
        <v/>
      </c>
      <c r="G528" s="19" t="str">
        <f aca="false">IF($B528="","",IFERROR(INDEX(Madde_Listesi!$F:$F,MATCH($B528,Madde_Listesi!$B:$B,0)),"Kod yok"))</f>
        <v/>
      </c>
      <c r="H528" s="19" t="str">
        <f aca="false">IF($A528="","",IFERROR(INDEX(Denetimler!$C:$C,MATCH($A528,Denetimler!$A:$A,0)),"No yok"))</f>
        <v/>
      </c>
      <c r="I528" s="19" t="str">
        <f aca="false">IF($A528="","",IFERROR(INDEX(Denetimler!$D:$D,MATCH($A528,Denetimler!$A:$A,0)),"No yok"))</f>
        <v/>
      </c>
      <c r="J528" s="19" t="str">
        <f aca="false">IF($A528="","",IFERROR(INDEX(Denetimler!$E:$E,MATCH($A528,Denetimler!$A:$A,0)),"No yok"))</f>
        <v/>
      </c>
      <c r="K528" s="25" t="str">
        <f aca="false">IF($A528="","",IFERROR(INDEX(Denetimler!$B:$B,MATCH($A528,Denetimler!$A:$A,0)),"No yok"))</f>
        <v/>
      </c>
    </row>
    <row r="529" customFormat="false" ht="15" hidden="false" customHeight="false" outlineLevel="0" collapsed="false">
      <c r="D529" s="19" t="str">
        <f aca="false">IF($B529="","",IFERROR(INDEX(Madde_Listesi!$C:$C,MATCH($B529,Madde_Listesi!$B:$B,0)),"Kod yok"))</f>
        <v/>
      </c>
      <c r="E529" s="19" t="str">
        <f aca="false">IF($B529="","",IFERROR(INDEX(Madde_Listesi!$D:$D,MATCH($B529,Madde_Listesi!$B:$B,0)),"Kod yok"))</f>
        <v/>
      </c>
      <c r="F529" s="19" t="str">
        <f aca="false">IF($B529="","",IFERROR(INDEX(Madde_Listesi!$E:$E,MATCH($B529,Madde_Listesi!$B:$B,0)),"Kod yok"))</f>
        <v/>
      </c>
      <c r="G529" s="19" t="str">
        <f aca="false">IF($B529="","",IFERROR(INDEX(Madde_Listesi!$F:$F,MATCH($B529,Madde_Listesi!$B:$B,0)),"Kod yok"))</f>
        <v/>
      </c>
      <c r="H529" s="19" t="str">
        <f aca="false">IF($A529="","",IFERROR(INDEX(Denetimler!$C:$C,MATCH($A529,Denetimler!$A:$A,0)),"No yok"))</f>
        <v/>
      </c>
      <c r="I529" s="19" t="str">
        <f aca="false">IF($A529="","",IFERROR(INDEX(Denetimler!$D:$D,MATCH($A529,Denetimler!$A:$A,0)),"No yok"))</f>
        <v/>
      </c>
      <c r="J529" s="19" t="str">
        <f aca="false">IF($A529="","",IFERROR(INDEX(Denetimler!$E:$E,MATCH($A529,Denetimler!$A:$A,0)),"No yok"))</f>
        <v/>
      </c>
      <c r="K529" s="25" t="str">
        <f aca="false">IF($A529="","",IFERROR(INDEX(Denetimler!$B:$B,MATCH($A529,Denetimler!$A:$A,0)),"No yok"))</f>
        <v/>
      </c>
    </row>
    <row r="530" customFormat="false" ht="15" hidden="false" customHeight="false" outlineLevel="0" collapsed="false">
      <c r="D530" s="19" t="str">
        <f aca="false">IF($B530="","",IFERROR(INDEX(Madde_Listesi!$C:$C,MATCH($B530,Madde_Listesi!$B:$B,0)),"Kod yok"))</f>
        <v/>
      </c>
      <c r="E530" s="19" t="str">
        <f aca="false">IF($B530="","",IFERROR(INDEX(Madde_Listesi!$D:$D,MATCH($B530,Madde_Listesi!$B:$B,0)),"Kod yok"))</f>
        <v/>
      </c>
      <c r="F530" s="19" t="str">
        <f aca="false">IF($B530="","",IFERROR(INDEX(Madde_Listesi!$E:$E,MATCH($B530,Madde_Listesi!$B:$B,0)),"Kod yok"))</f>
        <v/>
      </c>
      <c r="G530" s="19" t="str">
        <f aca="false">IF($B530="","",IFERROR(INDEX(Madde_Listesi!$F:$F,MATCH($B530,Madde_Listesi!$B:$B,0)),"Kod yok"))</f>
        <v/>
      </c>
      <c r="H530" s="19" t="str">
        <f aca="false">IF($A530="","",IFERROR(INDEX(Denetimler!$C:$C,MATCH($A530,Denetimler!$A:$A,0)),"No yok"))</f>
        <v/>
      </c>
      <c r="I530" s="19" t="str">
        <f aca="false">IF($A530="","",IFERROR(INDEX(Denetimler!$D:$D,MATCH($A530,Denetimler!$A:$A,0)),"No yok"))</f>
        <v/>
      </c>
      <c r="J530" s="19" t="str">
        <f aca="false">IF($A530="","",IFERROR(INDEX(Denetimler!$E:$E,MATCH($A530,Denetimler!$A:$A,0)),"No yok"))</f>
        <v/>
      </c>
      <c r="K530" s="25" t="str">
        <f aca="false">IF($A530="","",IFERROR(INDEX(Denetimler!$B:$B,MATCH($A530,Denetimler!$A:$A,0)),"No yok"))</f>
        <v/>
      </c>
    </row>
    <row r="531" customFormat="false" ht="15" hidden="false" customHeight="false" outlineLevel="0" collapsed="false">
      <c r="D531" s="19" t="str">
        <f aca="false">IF($B531="","",IFERROR(INDEX(Madde_Listesi!$C:$C,MATCH($B531,Madde_Listesi!$B:$B,0)),"Kod yok"))</f>
        <v/>
      </c>
      <c r="E531" s="19" t="str">
        <f aca="false">IF($B531="","",IFERROR(INDEX(Madde_Listesi!$D:$D,MATCH($B531,Madde_Listesi!$B:$B,0)),"Kod yok"))</f>
        <v/>
      </c>
      <c r="F531" s="19" t="str">
        <f aca="false">IF($B531="","",IFERROR(INDEX(Madde_Listesi!$E:$E,MATCH($B531,Madde_Listesi!$B:$B,0)),"Kod yok"))</f>
        <v/>
      </c>
      <c r="G531" s="19" t="str">
        <f aca="false">IF($B531="","",IFERROR(INDEX(Madde_Listesi!$F:$F,MATCH($B531,Madde_Listesi!$B:$B,0)),"Kod yok"))</f>
        <v/>
      </c>
      <c r="H531" s="19" t="str">
        <f aca="false">IF($A531="","",IFERROR(INDEX(Denetimler!$C:$C,MATCH($A531,Denetimler!$A:$A,0)),"No yok"))</f>
        <v/>
      </c>
      <c r="I531" s="19" t="str">
        <f aca="false">IF($A531="","",IFERROR(INDEX(Denetimler!$D:$D,MATCH($A531,Denetimler!$A:$A,0)),"No yok"))</f>
        <v/>
      </c>
      <c r="J531" s="19" t="str">
        <f aca="false">IF($A531="","",IFERROR(INDEX(Denetimler!$E:$E,MATCH($A531,Denetimler!$A:$A,0)),"No yok"))</f>
        <v/>
      </c>
      <c r="K531" s="25" t="str">
        <f aca="false">IF($A531="","",IFERROR(INDEX(Denetimler!$B:$B,MATCH($A531,Denetimler!$A:$A,0)),"No yok"))</f>
        <v/>
      </c>
    </row>
    <row r="532" customFormat="false" ht="15" hidden="false" customHeight="false" outlineLevel="0" collapsed="false">
      <c r="D532" s="19" t="str">
        <f aca="false">IF($B532="","",IFERROR(INDEX(Madde_Listesi!$C:$C,MATCH($B532,Madde_Listesi!$B:$B,0)),"Kod yok"))</f>
        <v/>
      </c>
      <c r="E532" s="19" t="str">
        <f aca="false">IF($B532="","",IFERROR(INDEX(Madde_Listesi!$D:$D,MATCH($B532,Madde_Listesi!$B:$B,0)),"Kod yok"))</f>
        <v/>
      </c>
      <c r="F532" s="19" t="str">
        <f aca="false">IF($B532="","",IFERROR(INDEX(Madde_Listesi!$E:$E,MATCH($B532,Madde_Listesi!$B:$B,0)),"Kod yok"))</f>
        <v/>
      </c>
      <c r="G532" s="19" t="str">
        <f aca="false">IF($B532="","",IFERROR(INDEX(Madde_Listesi!$F:$F,MATCH($B532,Madde_Listesi!$B:$B,0)),"Kod yok"))</f>
        <v/>
      </c>
      <c r="H532" s="19" t="str">
        <f aca="false">IF($A532="","",IFERROR(INDEX(Denetimler!$C:$C,MATCH($A532,Denetimler!$A:$A,0)),"No yok"))</f>
        <v/>
      </c>
      <c r="I532" s="19" t="str">
        <f aca="false">IF($A532="","",IFERROR(INDEX(Denetimler!$D:$D,MATCH($A532,Denetimler!$A:$A,0)),"No yok"))</f>
        <v/>
      </c>
      <c r="J532" s="19" t="str">
        <f aca="false">IF($A532="","",IFERROR(INDEX(Denetimler!$E:$E,MATCH($A532,Denetimler!$A:$A,0)),"No yok"))</f>
        <v/>
      </c>
      <c r="K532" s="25" t="str">
        <f aca="false">IF($A532="","",IFERROR(INDEX(Denetimler!$B:$B,MATCH($A532,Denetimler!$A:$A,0)),"No yok"))</f>
        <v/>
      </c>
    </row>
    <row r="533" customFormat="false" ht="15" hidden="false" customHeight="false" outlineLevel="0" collapsed="false">
      <c r="D533" s="19" t="str">
        <f aca="false">IF($B533="","",IFERROR(INDEX(Madde_Listesi!$C:$C,MATCH($B533,Madde_Listesi!$B:$B,0)),"Kod yok"))</f>
        <v/>
      </c>
      <c r="E533" s="19" t="str">
        <f aca="false">IF($B533="","",IFERROR(INDEX(Madde_Listesi!$D:$D,MATCH($B533,Madde_Listesi!$B:$B,0)),"Kod yok"))</f>
        <v/>
      </c>
      <c r="F533" s="19" t="str">
        <f aca="false">IF($B533="","",IFERROR(INDEX(Madde_Listesi!$E:$E,MATCH($B533,Madde_Listesi!$B:$B,0)),"Kod yok"))</f>
        <v/>
      </c>
      <c r="G533" s="19" t="str">
        <f aca="false">IF($B533="","",IFERROR(INDEX(Madde_Listesi!$F:$F,MATCH($B533,Madde_Listesi!$B:$B,0)),"Kod yok"))</f>
        <v/>
      </c>
      <c r="H533" s="19" t="str">
        <f aca="false">IF($A533="","",IFERROR(INDEX(Denetimler!$C:$C,MATCH($A533,Denetimler!$A:$A,0)),"No yok"))</f>
        <v/>
      </c>
      <c r="I533" s="19" t="str">
        <f aca="false">IF($A533="","",IFERROR(INDEX(Denetimler!$D:$D,MATCH($A533,Denetimler!$A:$A,0)),"No yok"))</f>
        <v/>
      </c>
      <c r="J533" s="19" t="str">
        <f aca="false">IF($A533="","",IFERROR(INDEX(Denetimler!$E:$E,MATCH($A533,Denetimler!$A:$A,0)),"No yok"))</f>
        <v/>
      </c>
      <c r="K533" s="25" t="str">
        <f aca="false">IF($A533="","",IFERROR(INDEX(Denetimler!$B:$B,MATCH($A533,Denetimler!$A:$A,0)),"No yok"))</f>
        <v/>
      </c>
    </row>
    <row r="534" customFormat="false" ht="15" hidden="false" customHeight="false" outlineLevel="0" collapsed="false">
      <c r="D534" s="19" t="str">
        <f aca="false">IF($B534="","",IFERROR(INDEX(Madde_Listesi!$C:$C,MATCH($B534,Madde_Listesi!$B:$B,0)),"Kod yok"))</f>
        <v/>
      </c>
      <c r="E534" s="19" t="str">
        <f aca="false">IF($B534="","",IFERROR(INDEX(Madde_Listesi!$D:$D,MATCH($B534,Madde_Listesi!$B:$B,0)),"Kod yok"))</f>
        <v/>
      </c>
      <c r="F534" s="19" t="str">
        <f aca="false">IF($B534="","",IFERROR(INDEX(Madde_Listesi!$E:$E,MATCH($B534,Madde_Listesi!$B:$B,0)),"Kod yok"))</f>
        <v/>
      </c>
      <c r="G534" s="19" t="str">
        <f aca="false">IF($B534="","",IFERROR(INDEX(Madde_Listesi!$F:$F,MATCH($B534,Madde_Listesi!$B:$B,0)),"Kod yok"))</f>
        <v/>
      </c>
      <c r="H534" s="19" t="str">
        <f aca="false">IF($A534="","",IFERROR(INDEX(Denetimler!$C:$C,MATCH($A534,Denetimler!$A:$A,0)),"No yok"))</f>
        <v/>
      </c>
      <c r="I534" s="19" t="str">
        <f aca="false">IF($A534="","",IFERROR(INDEX(Denetimler!$D:$D,MATCH($A534,Denetimler!$A:$A,0)),"No yok"))</f>
        <v/>
      </c>
      <c r="J534" s="19" t="str">
        <f aca="false">IF($A534="","",IFERROR(INDEX(Denetimler!$E:$E,MATCH($A534,Denetimler!$A:$A,0)),"No yok"))</f>
        <v/>
      </c>
      <c r="K534" s="25" t="str">
        <f aca="false">IF($A534="","",IFERROR(INDEX(Denetimler!$B:$B,MATCH($A534,Denetimler!$A:$A,0)),"No yok"))</f>
        <v/>
      </c>
    </row>
    <row r="535" customFormat="false" ht="15" hidden="false" customHeight="false" outlineLevel="0" collapsed="false">
      <c r="D535" s="19" t="str">
        <f aca="false">IF($B535="","",IFERROR(INDEX(Madde_Listesi!$C:$C,MATCH($B535,Madde_Listesi!$B:$B,0)),"Kod yok"))</f>
        <v/>
      </c>
      <c r="E535" s="19" t="str">
        <f aca="false">IF($B535="","",IFERROR(INDEX(Madde_Listesi!$D:$D,MATCH($B535,Madde_Listesi!$B:$B,0)),"Kod yok"))</f>
        <v/>
      </c>
      <c r="F535" s="19" t="str">
        <f aca="false">IF($B535="","",IFERROR(INDEX(Madde_Listesi!$E:$E,MATCH($B535,Madde_Listesi!$B:$B,0)),"Kod yok"))</f>
        <v/>
      </c>
      <c r="G535" s="19" t="str">
        <f aca="false">IF($B535="","",IFERROR(INDEX(Madde_Listesi!$F:$F,MATCH($B535,Madde_Listesi!$B:$B,0)),"Kod yok"))</f>
        <v/>
      </c>
      <c r="H535" s="19" t="str">
        <f aca="false">IF($A535="","",IFERROR(INDEX(Denetimler!$C:$C,MATCH($A535,Denetimler!$A:$A,0)),"No yok"))</f>
        <v/>
      </c>
      <c r="I535" s="19" t="str">
        <f aca="false">IF($A535="","",IFERROR(INDEX(Denetimler!$D:$D,MATCH($A535,Denetimler!$A:$A,0)),"No yok"))</f>
        <v/>
      </c>
      <c r="J535" s="19" t="str">
        <f aca="false">IF($A535="","",IFERROR(INDEX(Denetimler!$E:$E,MATCH($A535,Denetimler!$A:$A,0)),"No yok"))</f>
        <v/>
      </c>
      <c r="K535" s="25" t="str">
        <f aca="false">IF($A535="","",IFERROR(INDEX(Denetimler!$B:$B,MATCH($A535,Denetimler!$A:$A,0)),"No yok"))</f>
        <v/>
      </c>
    </row>
    <row r="536" customFormat="false" ht="15" hidden="false" customHeight="false" outlineLevel="0" collapsed="false">
      <c r="D536" s="19" t="str">
        <f aca="false">IF($B536="","",IFERROR(INDEX(Madde_Listesi!$C:$C,MATCH($B536,Madde_Listesi!$B:$B,0)),"Kod yok"))</f>
        <v/>
      </c>
      <c r="E536" s="19" t="str">
        <f aca="false">IF($B536="","",IFERROR(INDEX(Madde_Listesi!$D:$D,MATCH($B536,Madde_Listesi!$B:$B,0)),"Kod yok"))</f>
        <v/>
      </c>
      <c r="F536" s="19" t="str">
        <f aca="false">IF($B536="","",IFERROR(INDEX(Madde_Listesi!$E:$E,MATCH($B536,Madde_Listesi!$B:$B,0)),"Kod yok"))</f>
        <v/>
      </c>
      <c r="G536" s="19" t="str">
        <f aca="false">IF($B536="","",IFERROR(INDEX(Madde_Listesi!$F:$F,MATCH($B536,Madde_Listesi!$B:$B,0)),"Kod yok"))</f>
        <v/>
      </c>
      <c r="H536" s="19" t="str">
        <f aca="false">IF($A536="","",IFERROR(INDEX(Denetimler!$C:$C,MATCH($A536,Denetimler!$A:$A,0)),"No yok"))</f>
        <v/>
      </c>
      <c r="I536" s="19" t="str">
        <f aca="false">IF($A536="","",IFERROR(INDEX(Denetimler!$D:$D,MATCH($A536,Denetimler!$A:$A,0)),"No yok"))</f>
        <v/>
      </c>
      <c r="J536" s="19" t="str">
        <f aca="false">IF($A536="","",IFERROR(INDEX(Denetimler!$E:$E,MATCH($A536,Denetimler!$A:$A,0)),"No yok"))</f>
        <v/>
      </c>
      <c r="K536" s="25" t="str">
        <f aca="false">IF($A536="","",IFERROR(INDEX(Denetimler!$B:$B,MATCH($A536,Denetimler!$A:$A,0)),"No yok"))</f>
        <v/>
      </c>
    </row>
    <row r="537" customFormat="false" ht="15" hidden="false" customHeight="false" outlineLevel="0" collapsed="false">
      <c r="D537" s="19" t="str">
        <f aca="false">IF($B537="","",IFERROR(INDEX(Madde_Listesi!$C:$C,MATCH($B537,Madde_Listesi!$B:$B,0)),"Kod yok"))</f>
        <v/>
      </c>
      <c r="E537" s="19" t="str">
        <f aca="false">IF($B537="","",IFERROR(INDEX(Madde_Listesi!$D:$D,MATCH($B537,Madde_Listesi!$B:$B,0)),"Kod yok"))</f>
        <v/>
      </c>
      <c r="F537" s="19" t="str">
        <f aca="false">IF($B537="","",IFERROR(INDEX(Madde_Listesi!$E:$E,MATCH($B537,Madde_Listesi!$B:$B,0)),"Kod yok"))</f>
        <v/>
      </c>
      <c r="G537" s="19" t="str">
        <f aca="false">IF($B537="","",IFERROR(INDEX(Madde_Listesi!$F:$F,MATCH($B537,Madde_Listesi!$B:$B,0)),"Kod yok"))</f>
        <v/>
      </c>
      <c r="H537" s="19" t="str">
        <f aca="false">IF($A537="","",IFERROR(INDEX(Denetimler!$C:$C,MATCH($A537,Denetimler!$A:$A,0)),"No yok"))</f>
        <v/>
      </c>
      <c r="I537" s="19" t="str">
        <f aca="false">IF($A537="","",IFERROR(INDEX(Denetimler!$D:$D,MATCH($A537,Denetimler!$A:$A,0)),"No yok"))</f>
        <v/>
      </c>
      <c r="J537" s="19" t="str">
        <f aca="false">IF($A537="","",IFERROR(INDEX(Denetimler!$E:$E,MATCH($A537,Denetimler!$A:$A,0)),"No yok"))</f>
        <v/>
      </c>
      <c r="K537" s="25" t="str">
        <f aca="false">IF($A537="","",IFERROR(INDEX(Denetimler!$B:$B,MATCH($A537,Denetimler!$A:$A,0)),"No yok"))</f>
        <v/>
      </c>
    </row>
    <row r="538" customFormat="false" ht="15" hidden="false" customHeight="false" outlineLevel="0" collapsed="false">
      <c r="D538" s="19" t="str">
        <f aca="false">IF($B538="","",IFERROR(INDEX(Madde_Listesi!$C:$C,MATCH($B538,Madde_Listesi!$B:$B,0)),"Kod yok"))</f>
        <v/>
      </c>
      <c r="E538" s="19" t="str">
        <f aca="false">IF($B538="","",IFERROR(INDEX(Madde_Listesi!$D:$D,MATCH($B538,Madde_Listesi!$B:$B,0)),"Kod yok"))</f>
        <v/>
      </c>
      <c r="F538" s="19" t="str">
        <f aca="false">IF($B538="","",IFERROR(INDEX(Madde_Listesi!$E:$E,MATCH($B538,Madde_Listesi!$B:$B,0)),"Kod yok"))</f>
        <v/>
      </c>
      <c r="G538" s="19" t="str">
        <f aca="false">IF($B538="","",IFERROR(INDEX(Madde_Listesi!$F:$F,MATCH($B538,Madde_Listesi!$B:$B,0)),"Kod yok"))</f>
        <v/>
      </c>
      <c r="H538" s="19" t="str">
        <f aca="false">IF($A538="","",IFERROR(INDEX(Denetimler!$C:$C,MATCH($A538,Denetimler!$A:$A,0)),"No yok"))</f>
        <v/>
      </c>
      <c r="I538" s="19" t="str">
        <f aca="false">IF($A538="","",IFERROR(INDEX(Denetimler!$D:$D,MATCH($A538,Denetimler!$A:$A,0)),"No yok"))</f>
        <v/>
      </c>
      <c r="J538" s="19" t="str">
        <f aca="false">IF($A538="","",IFERROR(INDEX(Denetimler!$E:$E,MATCH($A538,Denetimler!$A:$A,0)),"No yok"))</f>
        <v/>
      </c>
      <c r="K538" s="25" t="str">
        <f aca="false">IF($A538="","",IFERROR(INDEX(Denetimler!$B:$B,MATCH($A538,Denetimler!$A:$A,0)),"No yok"))</f>
        <v/>
      </c>
    </row>
    <row r="539" customFormat="false" ht="15" hidden="false" customHeight="false" outlineLevel="0" collapsed="false">
      <c r="D539" s="19" t="str">
        <f aca="false">IF($B539="","",IFERROR(INDEX(Madde_Listesi!$C:$C,MATCH($B539,Madde_Listesi!$B:$B,0)),"Kod yok"))</f>
        <v/>
      </c>
      <c r="E539" s="19" t="str">
        <f aca="false">IF($B539="","",IFERROR(INDEX(Madde_Listesi!$D:$D,MATCH($B539,Madde_Listesi!$B:$B,0)),"Kod yok"))</f>
        <v/>
      </c>
      <c r="F539" s="19" t="str">
        <f aca="false">IF($B539="","",IFERROR(INDEX(Madde_Listesi!$E:$E,MATCH($B539,Madde_Listesi!$B:$B,0)),"Kod yok"))</f>
        <v/>
      </c>
      <c r="G539" s="19" t="str">
        <f aca="false">IF($B539="","",IFERROR(INDEX(Madde_Listesi!$F:$F,MATCH($B539,Madde_Listesi!$B:$B,0)),"Kod yok"))</f>
        <v/>
      </c>
      <c r="H539" s="19" t="str">
        <f aca="false">IF($A539="","",IFERROR(INDEX(Denetimler!$C:$C,MATCH($A539,Denetimler!$A:$A,0)),"No yok"))</f>
        <v/>
      </c>
      <c r="I539" s="19" t="str">
        <f aca="false">IF($A539="","",IFERROR(INDEX(Denetimler!$D:$D,MATCH($A539,Denetimler!$A:$A,0)),"No yok"))</f>
        <v/>
      </c>
      <c r="J539" s="19" t="str">
        <f aca="false">IF($A539="","",IFERROR(INDEX(Denetimler!$E:$E,MATCH($A539,Denetimler!$A:$A,0)),"No yok"))</f>
        <v/>
      </c>
      <c r="K539" s="25" t="str">
        <f aca="false">IF($A539="","",IFERROR(INDEX(Denetimler!$B:$B,MATCH($A539,Denetimler!$A:$A,0)),"No yok"))</f>
        <v/>
      </c>
    </row>
    <row r="540" customFormat="false" ht="15" hidden="false" customHeight="false" outlineLevel="0" collapsed="false">
      <c r="D540" s="19" t="str">
        <f aca="false">IF($B540="","",IFERROR(INDEX(Madde_Listesi!$C:$C,MATCH($B540,Madde_Listesi!$B:$B,0)),"Kod yok"))</f>
        <v/>
      </c>
      <c r="E540" s="19" t="str">
        <f aca="false">IF($B540="","",IFERROR(INDEX(Madde_Listesi!$D:$D,MATCH($B540,Madde_Listesi!$B:$B,0)),"Kod yok"))</f>
        <v/>
      </c>
      <c r="F540" s="19" t="str">
        <f aca="false">IF($B540="","",IFERROR(INDEX(Madde_Listesi!$E:$E,MATCH($B540,Madde_Listesi!$B:$B,0)),"Kod yok"))</f>
        <v/>
      </c>
      <c r="G540" s="19" t="str">
        <f aca="false">IF($B540="","",IFERROR(INDEX(Madde_Listesi!$F:$F,MATCH($B540,Madde_Listesi!$B:$B,0)),"Kod yok"))</f>
        <v/>
      </c>
      <c r="H540" s="19" t="str">
        <f aca="false">IF($A540="","",IFERROR(INDEX(Denetimler!$C:$C,MATCH($A540,Denetimler!$A:$A,0)),"No yok"))</f>
        <v/>
      </c>
      <c r="I540" s="19" t="str">
        <f aca="false">IF($A540="","",IFERROR(INDEX(Denetimler!$D:$D,MATCH($A540,Denetimler!$A:$A,0)),"No yok"))</f>
        <v/>
      </c>
      <c r="J540" s="19" t="str">
        <f aca="false">IF($A540="","",IFERROR(INDEX(Denetimler!$E:$E,MATCH($A540,Denetimler!$A:$A,0)),"No yok"))</f>
        <v/>
      </c>
      <c r="K540" s="25" t="str">
        <f aca="false">IF($A540="","",IFERROR(INDEX(Denetimler!$B:$B,MATCH($A540,Denetimler!$A:$A,0)),"No yok"))</f>
        <v/>
      </c>
    </row>
    <row r="541" customFormat="false" ht="15" hidden="false" customHeight="false" outlineLevel="0" collapsed="false">
      <c r="D541" s="19" t="str">
        <f aca="false">IF($B541="","",IFERROR(INDEX(Madde_Listesi!$C:$C,MATCH($B541,Madde_Listesi!$B:$B,0)),"Kod yok"))</f>
        <v/>
      </c>
      <c r="E541" s="19" t="str">
        <f aca="false">IF($B541="","",IFERROR(INDEX(Madde_Listesi!$D:$D,MATCH($B541,Madde_Listesi!$B:$B,0)),"Kod yok"))</f>
        <v/>
      </c>
      <c r="F541" s="19" t="str">
        <f aca="false">IF($B541="","",IFERROR(INDEX(Madde_Listesi!$E:$E,MATCH($B541,Madde_Listesi!$B:$B,0)),"Kod yok"))</f>
        <v/>
      </c>
      <c r="G541" s="19" t="str">
        <f aca="false">IF($B541="","",IFERROR(INDEX(Madde_Listesi!$F:$F,MATCH($B541,Madde_Listesi!$B:$B,0)),"Kod yok"))</f>
        <v/>
      </c>
      <c r="H541" s="19" t="str">
        <f aca="false">IF($A541="","",IFERROR(INDEX(Denetimler!$C:$C,MATCH($A541,Denetimler!$A:$A,0)),"No yok"))</f>
        <v/>
      </c>
      <c r="I541" s="19" t="str">
        <f aca="false">IF($A541="","",IFERROR(INDEX(Denetimler!$D:$D,MATCH($A541,Denetimler!$A:$A,0)),"No yok"))</f>
        <v/>
      </c>
      <c r="J541" s="19" t="str">
        <f aca="false">IF($A541="","",IFERROR(INDEX(Denetimler!$E:$E,MATCH($A541,Denetimler!$A:$A,0)),"No yok"))</f>
        <v/>
      </c>
      <c r="K541" s="25" t="str">
        <f aca="false">IF($A541="","",IFERROR(INDEX(Denetimler!$B:$B,MATCH($A541,Denetimler!$A:$A,0)),"No yok"))</f>
        <v/>
      </c>
    </row>
    <row r="542" customFormat="false" ht="15" hidden="false" customHeight="false" outlineLevel="0" collapsed="false">
      <c r="D542" s="19" t="str">
        <f aca="false">IF($B542="","",IFERROR(INDEX(Madde_Listesi!$C:$C,MATCH($B542,Madde_Listesi!$B:$B,0)),"Kod yok"))</f>
        <v/>
      </c>
      <c r="E542" s="19" t="str">
        <f aca="false">IF($B542="","",IFERROR(INDEX(Madde_Listesi!$D:$D,MATCH($B542,Madde_Listesi!$B:$B,0)),"Kod yok"))</f>
        <v/>
      </c>
      <c r="F542" s="19" t="str">
        <f aca="false">IF($B542="","",IFERROR(INDEX(Madde_Listesi!$E:$E,MATCH($B542,Madde_Listesi!$B:$B,0)),"Kod yok"))</f>
        <v/>
      </c>
      <c r="G542" s="19" t="str">
        <f aca="false">IF($B542="","",IFERROR(INDEX(Madde_Listesi!$F:$F,MATCH($B542,Madde_Listesi!$B:$B,0)),"Kod yok"))</f>
        <v/>
      </c>
      <c r="H542" s="19" t="str">
        <f aca="false">IF($A542="","",IFERROR(INDEX(Denetimler!$C:$C,MATCH($A542,Denetimler!$A:$A,0)),"No yok"))</f>
        <v/>
      </c>
      <c r="I542" s="19" t="str">
        <f aca="false">IF($A542="","",IFERROR(INDEX(Denetimler!$D:$D,MATCH($A542,Denetimler!$A:$A,0)),"No yok"))</f>
        <v/>
      </c>
      <c r="J542" s="19" t="str">
        <f aca="false">IF($A542="","",IFERROR(INDEX(Denetimler!$E:$E,MATCH($A542,Denetimler!$A:$A,0)),"No yok"))</f>
        <v/>
      </c>
      <c r="K542" s="25" t="str">
        <f aca="false">IF($A542="","",IFERROR(INDEX(Denetimler!$B:$B,MATCH($A542,Denetimler!$A:$A,0)),"No yok"))</f>
        <v/>
      </c>
    </row>
    <row r="543" customFormat="false" ht="15" hidden="false" customHeight="false" outlineLevel="0" collapsed="false">
      <c r="D543" s="19" t="str">
        <f aca="false">IF($B543="","",IFERROR(INDEX(Madde_Listesi!$C:$C,MATCH($B543,Madde_Listesi!$B:$B,0)),"Kod yok"))</f>
        <v/>
      </c>
      <c r="E543" s="19" t="str">
        <f aca="false">IF($B543="","",IFERROR(INDEX(Madde_Listesi!$D:$D,MATCH($B543,Madde_Listesi!$B:$B,0)),"Kod yok"))</f>
        <v/>
      </c>
      <c r="F543" s="19" t="str">
        <f aca="false">IF($B543="","",IFERROR(INDEX(Madde_Listesi!$E:$E,MATCH($B543,Madde_Listesi!$B:$B,0)),"Kod yok"))</f>
        <v/>
      </c>
      <c r="G543" s="19" t="str">
        <f aca="false">IF($B543="","",IFERROR(INDEX(Madde_Listesi!$F:$F,MATCH($B543,Madde_Listesi!$B:$B,0)),"Kod yok"))</f>
        <v/>
      </c>
      <c r="H543" s="19" t="str">
        <f aca="false">IF($A543="","",IFERROR(INDEX(Denetimler!$C:$C,MATCH($A543,Denetimler!$A:$A,0)),"No yok"))</f>
        <v/>
      </c>
      <c r="I543" s="19" t="str">
        <f aca="false">IF($A543="","",IFERROR(INDEX(Denetimler!$D:$D,MATCH($A543,Denetimler!$A:$A,0)),"No yok"))</f>
        <v/>
      </c>
      <c r="J543" s="19" t="str">
        <f aca="false">IF($A543="","",IFERROR(INDEX(Denetimler!$E:$E,MATCH($A543,Denetimler!$A:$A,0)),"No yok"))</f>
        <v/>
      </c>
      <c r="K543" s="25" t="str">
        <f aca="false">IF($A543="","",IFERROR(INDEX(Denetimler!$B:$B,MATCH($A543,Denetimler!$A:$A,0)),"No yok"))</f>
        <v/>
      </c>
    </row>
    <row r="544" customFormat="false" ht="15" hidden="false" customHeight="false" outlineLevel="0" collapsed="false">
      <c r="D544" s="19" t="str">
        <f aca="false">IF($B544="","",IFERROR(INDEX(Madde_Listesi!$C:$C,MATCH($B544,Madde_Listesi!$B:$B,0)),"Kod yok"))</f>
        <v/>
      </c>
      <c r="E544" s="19" t="str">
        <f aca="false">IF($B544="","",IFERROR(INDEX(Madde_Listesi!$D:$D,MATCH($B544,Madde_Listesi!$B:$B,0)),"Kod yok"))</f>
        <v/>
      </c>
      <c r="F544" s="19" t="str">
        <f aca="false">IF($B544="","",IFERROR(INDEX(Madde_Listesi!$E:$E,MATCH($B544,Madde_Listesi!$B:$B,0)),"Kod yok"))</f>
        <v/>
      </c>
      <c r="G544" s="19" t="str">
        <f aca="false">IF($B544="","",IFERROR(INDEX(Madde_Listesi!$F:$F,MATCH($B544,Madde_Listesi!$B:$B,0)),"Kod yok"))</f>
        <v/>
      </c>
      <c r="H544" s="19" t="str">
        <f aca="false">IF($A544="","",IFERROR(INDEX(Denetimler!$C:$C,MATCH($A544,Denetimler!$A:$A,0)),"No yok"))</f>
        <v/>
      </c>
      <c r="I544" s="19" t="str">
        <f aca="false">IF($A544="","",IFERROR(INDEX(Denetimler!$D:$D,MATCH($A544,Denetimler!$A:$A,0)),"No yok"))</f>
        <v/>
      </c>
      <c r="J544" s="19" t="str">
        <f aca="false">IF($A544="","",IFERROR(INDEX(Denetimler!$E:$E,MATCH($A544,Denetimler!$A:$A,0)),"No yok"))</f>
        <v/>
      </c>
      <c r="K544" s="25" t="str">
        <f aca="false">IF($A544="","",IFERROR(INDEX(Denetimler!$B:$B,MATCH($A544,Denetimler!$A:$A,0)),"No yok"))</f>
        <v/>
      </c>
    </row>
    <row r="545" customFormat="false" ht="15" hidden="false" customHeight="false" outlineLevel="0" collapsed="false">
      <c r="D545" s="19" t="str">
        <f aca="false">IF($B545="","",IFERROR(INDEX(Madde_Listesi!$C:$C,MATCH($B545,Madde_Listesi!$B:$B,0)),"Kod yok"))</f>
        <v/>
      </c>
      <c r="E545" s="19" t="str">
        <f aca="false">IF($B545="","",IFERROR(INDEX(Madde_Listesi!$D:$D,MATCH($B545,Madde_Listesi!$B:$B,0)),"Kod yok"))</f>
        <v/>
      </c>
      <c r="F545" s="19" t="str">
        <f aca="false">IF($B545="","",IFERROR(INDEX(Madde_Listesi!$E:$E,MATCH($B545,Madde_Listesi!$B:$B,0)),"Kod yok"))</f>
        <v/>
      </c>
      <c r="G545" s="19" t="str">
        <f aca="false">IF($B545="","",IFERROR(INDEX(Madde_Listesi!$F:$F,MATCH($B545,Madde_Listesi!$B:$B,0)),"Kod yok"))</f>
        <v/>
      </c>
      <c r="H545" s="19" t="str">
        <f aca="false">IF($A545="","",IFERROR(INDEX(Denetimler!$C:$C,MATCH($A545,Denetimler!$A:$A,0)),"No yok"))</f>
        <v/>
      </c>
      <c r="I545" s="19" t="str">
        <f aca="false">IF($A545="","",IFERROR(INDEX(Denetimler!$D:$D,MATCH($A545,Denetimler!$A:$A,0)),"No yok"))</f>
        <v/>
      </c>
      <c r="J545" s="19" t="str">
        <f aca="false">IF($A545="","",IFERROR(INDEX(Denetimler!$E:$E,MATCH($A545,Denetimler!$A:$A,0)),"No yok"))</f>
        <v/>
      </c>
      <c r="K545" s="25" t="str">
        <f aca="false">IF($A545="","",IFERROR(INDEX(Denetimler!$B:$B,MATCH($A545,Denetimler!$A:$A,0)),"No yok"))</f>
        <v/>
      </c>
    </row>
    <row r="546" customFormat="false" ht="15" hidden="false" customHeight="false" outlineLevel="0" collapsed="false">
      <c r="D546" s="19" t="str">
        <f aca="false">IF($B546="","",IFERROR(INDEX(Madde_Listesi!$C:$C,MATCH($B546,Madde_Listesi!$B:$B,0)),"Kod yok"))</f>
        <v/>
      </c>
      <c r="E546" s="19" t="str">
        <f aca="false">IF($B546="","",IFERROR(INDEX(Madde_Listesi!$D:$D,MATCH($B546,Madde_Listesi!$B:$B,0)),"Kod yok"))</f>
        <v/>
      </c>
      <c r="F546" s="19" t="str">
        <f aca="false">IF($B546="","",IFERROR(INDEX(Madde_Listesi!$E:$E,MATCH($B546,Madde_Listesi!$B:$B,0)),"Kod yok"))</f>
        <v/>
      </c>
      <c r="G546" s="19" t="str">
        <f aca="false">IF($B546="","",IFERROR(INDEX(Madde_Listesi!$F:$F,MATCH($B546,Madde_Listesi!$B:$B,0)),"Kod yok"))</f>
        <v/>
      </c>
      <c r="H546" s="19" t="str">
        <f aca="false">IF($A546="","",IFERROR(INDEX(Denetimler!$C:$C,MATCH($A546,Denetimler!$A:$A,0)),"No yok"))</f>
        <v/>
      </c>
      <c r="I546" s="19" t="str">
        <f aca="false">IF($A546="","",IFERROR(INDEX(Denetimler!$D:$D,MATCH($A546,Denetimler!$A:$A,0)),"No yok"))</f>
        <v/>
      </c>
      <c r="J546" s="19" t="str">
        <f aca="false">IF($A546="","",IFERROR(INDEX(Denetimler!$E:$E,MATCH($A546,Denetimler!$A:$A,0)),"No yok"))</f>
        <v/>
      </c>
      <c r="K546" s="25" t="str">
        <f aca="false">IF($A546="","",IFERROR(INDEX(Denetimler!$B:$B,MATCH($A546,Denetimler!$A:$A,0)),"No yok"))</f>
        <v/>
      </c>
    </row>
    <row r="547" customFormat="false" ht="15" hidden="false" customHeight="false" outlineLevel="0" collapsed="false">
      <c r="D547" s="19" t="str">
        <f aca="false">IF($B547="","",IFERROR(INDEX(Madde_Listesi!$C:$C,MATCH($B547,Madde_Listesi!$B:$B,0)),"Kod yok"))</f>
        <v/>
      </c>
      <c r="E547" s="19" t="str">
        <f aca="false">IF($B547="","",IFERROR(INDEX(Madde_Listesi!$D:$D,MATCH($B547,Madde_Listesi!$B:$B,0)),"Kod yok"))</f>
        <v/>
      </c>
      <c r="F547" s="19" t="str">
        <f aca="false">IF($B547="","",IFERROR(INDEX(Madde_Listesi!$E:$E,MATCH($B547,Madde_Listesi!$B:$B,0)),"Kod yok"))</f>
        <v/>
      </c>
      <c r="G547" s="19" t="str">
        <f aca="false">IF($B547="","",IFERROR(INDEX(Madde_Listesi!$F:$F,MATCH($B547,Madde_Listesi!$B:$B,0)),"Kod yok"))</f>
        <v/>
      </c>
      <c r="H547" s="19" t="str">
        <f aca="false">IF($A547="","",IFERROR(INDEX(Denetimler!$C:$C,MATCH($A547,Denetimler!$A:$A,0)),"No yok"))</f>
        <v/>
      </c>
      <c r="I547" s="19" t="str">
        <f aca="false">IF($A547="","",IFERROR(INDEX(Denetimler!$D:$D,MATCH($A547,Denetimler!$A:$A,0)),"No yok"))</f>
        <v/>
      </c>
      <c r="J547" s="19" t="str">
        <f aca="false">IF($A547="","",IFERROR(INDEX(Denetimler!$E:$E,MATCH($A547,Denetimler!$A:$A,0)),"No yok"))</f>
        <v/>
      </c>
      <c r="K547" s="25" t="str">
        <f aca="false">IF($A547="","",IFERROR(INDEX(Denetimler!$B:$B,MATCH($A547,Denetimler!$A:$A,0)),"No yok"))</f>
        <v/>
      </c>
    </row>
    <row r="548" customFormat="false" ht="15" hidden="false" customHeight="false" outlineLevel="0" collapsed="false">
      <c r="D548" s="19" t="str">
        <f aca="false">IF($B548="","",IFERROR(INDEX(Madde_Listesi!$C:$C,MATCH($B548,Madde_Listesi!$B:$B,0)),"Kod yok"))</f>
        <v/>
      </c>
      <c r="E548" s="19" t="str">
        <f aca="false">IF($B548="","",IFERROR(INDEX(Madde_Listesi!$D:$D,MATCH($B548,Madde_Listesi!$B:$B,0)),"Kod yok"))</f>
        <v/>
      </c>
      <c r="F548" s="19" t="str">
        <f aca="false">IF($B548="","",IFERROR(INDEX(Madde_Listesi!$E:$E,MATCH($B548,Madde_Listesi!$B:$B,0)),"Kod yok"))</f>
        <v/>
      </c>
      <c r="G548" s="19" t="str">
        <f aca="false">IF($B548="","",IFERROR(INDEX(Madde_Listesi!$F:$F,MATCH($B548,Madde_Listesi!$B:$B,0)),"Kod yok"))</f>
        <v/>
      </c>
      <c r="H548" s="19" t="str">
        <f aca="false">IF($A548="","",IFERROR(INDEX(Denetimler!$C:$C,MATCH($A548,Denetimler!$A:$A,0)),"No yok"))</f>
        <v/>
      </c>
      <c r="I548" s="19" t="str">
        <f aca="false">IF($A548="","",IFERROR(INDEX(Denetimler!$D:$D,MATCH($A548,Denetimler!$A:$A,0)),"No yok"))</f>
        <v/>
      </c>
      <c r="J548" s="19" t="str">
        <f aca="false">IF($A548="","",IFERROR(INDEX(Denetimler!$E:$E,MATCH($A548,Denetimler!$A:$A,0)),"No yok"))</f>
        <v/>
      </c>
      <c r="K548" s="25" t="str">
        <f aca="false">IF($A548="","",IFERROR(INDEX(Denetimler!$B:$B,MATCH($A548,Denetimler!$A:$A,0)),"No yok"))</f>
        <v/>
      </c>
    </row>
    <row r="549" customFormat="false" ht="15" hidden="false" customHeight="false" outlineLevel="0" collapsed="false">
      <c r="D549" s="19" t="str">
        <f aca="false">IF($B549="","",IFERROR(INDEX(Madde_Listesi!$C:$C,MATCH($B549,Madde_Listesi!$B:$B,0)),"Kod yok"))</f>
        <v/>
      </c>
      <c r="E549" s="19" t="str">
        <f aca="false">IF($B549="","",IFERROR(INDEX(Madde_Listesi!$D:$D,MATCH($B549,Madde_Listesi!$B:$B,0)),"Kod yok"))</f>
        <v/>
      </c>
      <c r="F549" s="19" t="str">
        <f aca="false">IF($B549="","",IFERROR(INDEX(Madde_Listesi!$E:$E,MATCH($B549,Madde_Listesi!$B:$B,0)),"Kod yok"))</f>
        <v/>
      </c>
      <c r="G549" s="19" t="str">
        <f aca="false">IF($B549="","",IFERROR(INDEX(Madde_Listesi!$F:$F,MATCH($B549,Madde_Listesi!$B:$B,0)),"Kod yok"))</f>
        <v/>
      </c>
      <c r="H549" s="19" t="str">
        <f aca="false">IF($A549="","",IFERROR(INDEX(Denetimler!$C:$C,MATCH($A549,Denetimler!$A:$A,0)),"No yok"))</f>
        <v/>
      </c>
      <c r="I549" s="19" t="str">
        <f aca="false">IF($A549="","",IFERROR(INDEX(Denetimler!$D:$D,MATCH($A549,Denetimler!$A:$A,0)),"No yok"))</f>
        <v/>
      </c>
      <c r="J549" s="19" t="str">
        <f aca="false">IF($A549="","",IFERROR(INDEX(Denetimler!$E:$E,MATCH($A549,Denetimler!$A:$A,0)),"No yok"))</f>
        <v/>
      </c>
      <c r="K549" s="25" t="str">
        <f aca="false">IF($A549="","",IFERROR(INDEX(Denetimler!$B:$B,MATCH($A549,Denetimler!$A:$A,0)),"No yok"))</f>
        <v/>
      </c>
    </row>
    <row r="550" customFormat="false" ht="15" hidden="false" customHeight="false" outlineLevel="0" collapsed="false">
      <c r="D550" s="19" t="str">
        <f aca="false">IF($B550="","",IFERROR(INDEX(Madde_Listesi!$C:$C,MATCH($B550,Madde_Listesi!$B:$B,0)),"Kod yok"))</f>
        <v/>
      </c>
      <c r="E550" s="19" t="str">
        <f aca="false">IF($B550="","",IFERROR(INDEX(Madde_Listesi!$D:$D,MATCH($B550,Madde_Listesi!$B:$B,0)),"Kod yok"))</f>
        <v/>
      </c>
      <c r="F550" s="19" t="str">
        <f aca="false">IF($B550="","",IFERROR(INDEX(Madde_Listesi!$E:$E,MATCH($B550,Madde_Listesi!$B:$B,0)),"Kod yok"))</f>
        <v/>
      </c>
      <c r="G550" s="19" t="str">
        <f aca="false">IF($B550="","",IFERROR(INDEX(Madde_Listesi!$F:$F,MATCH($B550,Madde_Listesi!$B:$B,0)),"Kod yok"))</f>
        <v/>
      </c>
      <c r="H550" s="19" t="str">
        <f aca="false">IF($A550="","",IFERROR(INDEX(Denetimler!$C:$C,MATCH($A550,Denetimler!$A:$A,0)),"No yok"))</f>
        <v/>
      </c>
      <c r="I550" s="19" t="str">
        <f aca="false">IF($A550="","",IFERROR(INDEX(Denetimler!$D:$D,MATCH($A550,Denetimler!$A:$A,0)),"No yok"))</f>
        <v/>
      </c>
      <c r="J550" s="19" t="str">
        <f aca="false">IF($A550="","",IFERROR(INDEX(Denetimler!$E:$E,MATCH($A550,Denetimler!$A:$A,0)),"No yok"))</f>
        <v/>
      </c>
      <c r="K550" s="25" t="str">
        <f aca="false">IF($A550="","",IFERROR(INDEX(Denetimler!$B:$B,MATCH($A550,Denetimler!$A:$A,0)),"No yok"))</f>
        <v/>
      </c>
    </row>
    <row r="551" customFormat="false" ht="15" hidden="false" customHeight="false" outlineLevel="0" collapsed="false">
      <c r="D551" s="19" t="str">
        <f aca="false">IF($B551="","",IFERROR(INDEX(Madde_Listesi!$C:$C,MATCH($B551,Madde_Listesi!$B:$B,0)),"Kod yok"))</f>
        <v/>
      </c>
      <c r="E551" s="19" t="str">
        <f aca="false">IF($B551="","",IFERROR(INDEX(Madde_Listesi!$D:$D,MATCH($B551,Madde_Listesi!$B:$B,0)),"Kod yok"))</f>
        <v/>
      </c>
      <c r="F551" s="19" t="str">
        <f aca="false">IF($B551="","",IFERROR(INDEX(Madde_Listesi!$E:$E,MATCH($B551,Madde_Listesi!$B:$B,0)),"Kod yok"))</f>
        <v/>
      </c>
      <c r="G551" s="19" t="str">
        <f aca="false">IF($B551="","",IFERROR(INDEX(Madde_Listesi!$F:$F,MATCH($B551,Madde_Listesi!$B:$B,0)),"Kod yok"))</f>
        <v/>
      </c>
      <c r="H551" s="19" t="str">
        <f aca="false">IF($A551="","",IFERROR(INDEX(Denetimler!$C:$C,MATCH($A551,Denetimler!$A:$A,0)),"No yok"))</f>
        <v/>
      </c>
      <c r="I551" s="19" t="str">
        <f aca="false">IF($A551="","",IFERROR(INDEX(Denetimler!$D:$D,MATCH($A551,Denetimler!$A:$A,0)),"No yok"))</f>
        <v/>
      </c>
      <c r="J551" s="19" t="str">
        <f aca="false">IF($A551="","",IFERROR(INDEX(Denetimler!$E:$E,MATCH($A551,Denetimler!$A:$A,0)),"No yok"))</f>
        <v/>
      </c>
      <c r="K551" s="25" t="str">
        <f aca="false">IF($A551="","",IFERROR(INDEX(Denetimler!$B:$B,MATCH($A551,Denetimler!$A:$A,0)),"No yok"))</f>
        <v/>
      </c>
    </row>
    <row r="552" customFormat="false" ht="15" hidden="false" customHeight="false" outlineLevel="0" collapsed="false">
      <c r="D552" s="19" t="str">
        <f aca="false">IF($B552="","",IFERROR(INDEX(Madde_Listesi!$C:$C,MATCH($B552,Madde_Listesi!$B:$B,0)),"Kod yok"))</f>
        <v/>
      </c>
      <c r="E552" s="19" t="str">
        <f aca="false">IF($B552="","",IFERROR(INDEX(Madde_Listesi!$D:$D,MATCH($B552,Madde_Listesi!$B:$B,0)),"Kod yok"))</f>
        <v/>
      </c>
      <c r="F552" s="19" t="str">
        <f aca="false">IF($B552="","",IFERROR(INDEX(Madde_Listesi!$E:$E,MATCH($B552,Madde_Listesi!$B:$B,0)),"Kod yok"))</f>
        <v/>
      </c>
      <c r="G552" s="19" t="str">
        <f aca="false">IF($B552="","",IFERROR(INDEX(Madde_Listesi!$F:$F,MATCH($B552,Madde_Listesi!$B:$B,0)),"Kod yok"))</f>
        <v/>
      </c>
      <c r="H552" s="19" t="str">
        <f aca="false">IF($A552="","",IFERROR(INDEX(Denetimler!$C:$C,MATCH($A552,Denetimler!$A:$A,0)),"No yok"))</f>
        <v/>
      </c>
      <c r="I552" s="19" t="str">
        <f aca="false">IF($A552="","",IFERROR(INDEX(Denetimler!$D:$D,MATCH($A552,Denetimler!$A:$A,0)),"No yok"))</f>
        <v/>
      </c>
      <c r="J552" s="19" t="str">
        <f aca="false">IF($A552="","",IFERROR(INDEX(Denetimler!$E:$E,MATCH($A552,Denetimler!$A:$A,0)),"No yok"))</f>
        <v/>
      </c>
      <c r="K552" s="25" t="str">
        <f aca="false">IF($A552="","",IFERROR(INDEX(Denetimler!$B:$B,MATCH($A552,Denetimler!$A:$A,0)),"No yok"))</f>
        <v/>
      </c>
    </row>
    <row r="553" customFormat="false" ht="15" hidden="false" customHeight="false" outlineLevel="0" collapsed="false">
      <c r="D553" s="19" t="str">
        <f aca="false">IF($B553="","",IFERROR(INDEX(Madde_Listesi!$C:$C,MATCH($B553,Madde_Listesi!$B:$B,0)),"Kod yok"))</f>
        <v/>
      </c>
      <c r="E553" s="19" t="str">
        <f aca="false">IF($B553="","",IFERROR(INDEX(Madde_Listesi!$D:$D,MATCH($B553,Madde_Listesi!$B:$B,0)),"Kod yok"))</f>
        <v/>
      </c>
      <c r="F553" s="19" t="str">
        <f aca="false">IF($B553="","",IFERROR(INDEX(Madde_Listesi!$E:$E,MATCH($B553,Madde_Listesi!$B:$B,0)),"Kod yok"))</f>
        <v/>
      </c>
      <c r="G553" s="19" t="str">
        <f aca="false">IF($B553="","",IFERROR(INDEX(Madde_Listesi!$F:$F,MATCH($B553,Madde_Listesi!$B:$B,0)),"Kod yok"))</f>
        <v/>
      </c>
      <c r="H553" s="19" t="str">
        <f aca="false">IF($A553="","",IFERROR(INDEX(Denetimler!$C:$C,MATCH($A553,Denetimler!$A:$A,0)),"No yok"))</f>
        <v/>
      </c>
      <c r="I553" s="19" t="str">
        <f aca="false">IF($A553="","",IFERROR(INDEX(Denetimler!$D:$D,MATCH($A553,Denetimler!$A:$A,0)),"No yok"))</f>
        <v/>
      </c>
      <c r="J553" s="19" t="str">
        <f aca="false">IF($A553="","",IFERROR(INDEX(Denetimler!$E:$E,MATCH($A553,Denetimler!$A:$A,0)),"No yok"))</f>
        <v/>
      </c>
      <c r="K553" s="25" t="str">
        <f aca="false">IF($A553="","",IFERROR(INDEX(Denetimler!$B:$B,MATCH($A553,Denetimler!$A:$A,0)),"No yok"))</f>
        <v/>
      </c>
    </row>
    <row r="554" customFormat="false" ht="15" hidden="false" customHeight="false" outlineLevel="0" collapsed="false">
      <c r="D554" s="19" t="str">
        <f aca="false">IF($B554="","",IFERROR(INDEX(Madde_Listesi!$C:$C,MATCH($B554,Madde_Listesi!$B:$B,0)),"Kod yok"))</f>
        <v/>
      </c>
      <c r="E554" s="19" t="str">
        <f aca="false">IF($B554="","",IFERROR(INDEX(Madde_Listesi!$D:$D,MATCH($B554,Madde_Listesi!$B:$B,0)),"Kod yok"))</f>
        <v/>
      </c>
      <c r="F554" s="19" t="str">
        <f aca="false">IF($B554="","",IFERROR(INDEX(Madde_Listesi!$E:$E,MATCH($B554,Madde_Listesi!$B:$B,0)),"Kod yok"))</f>
        <v/>
      </c>
      <c r="G554" s="19" t="str">
        <f aca="false">IF($B554="","",IFERROR(INDEX(Madde_Listesi!$F:$F,MATCH($B554,Madde_Listesi!$B:$B,0)),"Kod yok"))</f>
        <v/>
      </c>
      <c r="H554" s="19" t="str">
        <f aca="false">IF($A554="","",IFERROR(INDEX(Denetimler!$C:$C,MATCH($A554,Denetimler!$A:$A,0)),"No yok"))</f>
        <v/>
      </c>
      <c r="I554" s="19" t="str">
        <f aca="false">IF($A554="","",IFERROR(INDEX(Denetimler!$D:$D,MATCH($A554,Denetimler!$A:$A,0)),"No yok"))</f>
        <v/>
      </c>
      <c r="J554" s="19" t="str">
        <f aca="false">IF($A554="","",IFERROR(INDEX(Denetimler!$E:$E,MATCH($A554,Denetimler!$A:$A,0)),"No yok"))</f>
        <v/>
      </c>
      <c r="K554" s="25" t="str">
        <f aca="false">IF($A554="","",IFERROR(INDEX(Denetimler!$B:$B,MATCH($A554,Denetimler!$A:$A,0)),"No yok"))</f>
        <v/>
      </c>
    </row>
    <row r="555" customFormat="false" ht="15" hidden="false" customHeight="false" outlineLevel="0" collapsed="false">
      <c r="D555" s="19" t="str">
        <f aca="false">IF($B555="","",IFERROR(INDEX(Madde_Listesi!$C:$C,MATCH($B555,Madde_Listesi!$B:$B,0)),"Kod yok"))</f>
        <v/>
      </c>
      <c r="E555" s="19" t="str">
        <f aca="false">IF($B555="","",IFERROR(INDEX(Madde_Listesi!$D:$D,MATCH($B555,Madde_Listesi!$B:$B,0)),"Kod yok"))</f>
        <v/>
      </c>
      <c r="F555" s="19" t="str">
        <f aca="false">IF($B555="","",IFERROR(INDEX(Madde_Listesi!$E:$E,MATCH($B555,Madde_Listesi!$B:$B,0)),"Kod yok"))</f>
        <v/>
      </c>
      <c r="G555" s="19" t="str">
        <f aca="false">IF($B555="","",IFERROR(INDEX(Madde_Listesi!$F:$F,MATCH($B555,Madde_Listesi!$B:$B,0)),"Kod yok"))</f>
        <v/>
      </c>
      <c r="H555" s="19" t="str">
        <f aca="false">IF($A555="","",IFERROR(INDEX(Denetimler!$C:$C,MATCH($A555,Denetimler!$A:$A,0)),"No yok"))</f>
        <v/>
      </c>
      <c r="I555" s="19" t="str">
        <f aca="false">IF($A555="","",IFERROR(INDEX(Denetimler!$D:$D,MATCH($A555,Denetimler!$A:$A,0)),"No yok"))</f>
        <v/>
      </c>
      <c r="J555" s="19" t="str">
        <f aca="false">IF($A555="","",IFERROR(INDEX(Denetimler!$E:$E,MATCH($A555,Denetimler!$A:$A,0)),"No yok"))</f>
        <v/>
      </c>
      <c r="K555" s="25" t="str">
        <f aca="false">IF($A555="","",IFERROR(INDEX(Denetimler!$B:$B,MATCH($A555,Denetimler!$A:$A,0)),"No yok"))</f>
        <v/>
      </c>
    </row>
    <row r="556" customFormat="false" ht="15" hidden="false" customHeight="false" outlineLevel="0" collapsed="false">
      <c r="D556" s="19" t="str">
        <f aca="false">IF($B556="","",IFERROR(INDEX(Madde_Listesi!$C:$C,MATCH($B556,Madde_Listesi!$B:$B,0)),"Kod yok"))</f>
        <v/>
      </c>
      <c r="E556" s="19" t="str">
        <f aca="false">IF($B556="","",IFERROR(INDEX(Madde_Listesi!$D:$D,MATCH($B556,Madde_Listesi!$B:$B,0)),"Kod yok"))</f>
        <v/>
      </c>
      <c r="F556" s="19" t="str">
        <f aca="false">IF($B556="","",IFERROR(INDEX(Madde_Listesi!$E:$E,MATCH($B556,Madde_Listesi!$B:$B,0)),"Kod yok"))</f>
        <v/>
      </c>
      <c r="G556" s="19" t="str">
        <f aca="false">IF($B556="","",IFERROR(INDEX(Madde_Listesi!$F:$F,MATCH($B556,Madde_Listesi!$B:$B,0)),"Kod yok"))</f>
        <v/>
      </c>
      <c r="H556" s="19" t="str">
        <f aca="false">IF($A556="","",IFERROR(INDEX(Denetimler!$C:$C,MATCH($A556,Denetimler!$A:$A,0)),"No yok"))</f>
        <v/>
      </c>
      <c r="I556" s="19" t="str">
        <f aca="false">IF($A556="","",IFERROR(INDEX(Denetimler!$D:$D,MATCH($A556,Denetimler!$A:$A,0)),"No yok"))</f>
        <v/>
      </c>
      <c r="J556" s="19" t="str">
        <f aca="false">IF($A556="","",IFERROR(INDEX(Denetimler!$E:$E,MATCH($A556,Denetimler!$A:$A,0)),"No yok"))</f>
        <v/>
      </c>
      <c r="K556" s="25" t="str">
        <f aca="false">IF($A556="","",IFERROR(INDEX(Denetimler!$B:$B,MATCH($A556,Denetimler!$A:$A,0)),"No yok"))</f>
        <v/>
      </c>
    </row>
    <row r="557" customFormat="false" ht="15" hidden="false" customHeight="false" outlineLevel="0" collapsed="false">
      <c r="D557" s="19" t="str">
        <f aca="false">IF($B557="","",IFERROR(INDEX(Madde_Listesi!$C:$C,MATCH($B557,Madde_Listesi!$B:$B,0)),"Kod yok"))</f>
        <v/>
      </c>
      <c r="E557" s="19" t="str">
        <f aca="false">IF($B557="","",IFERROR(INDEX(Madde_Listesi!$D:$D,MATCH($B557,Madde_Listesi!$B:$B,0)),"Kod yok"))</f>
        <v/>
      </c>
      <c r="F557" s="19" t="str">
        <f aca="false">IF($B557="","",IFERROR(INDEX(Madde_Listesi!$E:$E,MATCH($B557,Madde_Listesi!$B:$B,0)),"Kod yok"))</f>
        <v/>
      </c>
      <c r="G557" s="19" t="str">
        <f aca="false">IF($B557="","",IFERROR(INDEX(Madde_Listesi!$F:$F,MATCH($B557,Madde_Listesi!$B:$B,0)),"Kod yok"))</f>
        <v/>
      </c>
      <c r="H557" s="19" t="str">
        <f aca="false">IF($A557="","",IFERROR(INDEX(Denetimler!$C:$C,MATCH($A557,Denetimler!$A:$A,0)),"No yok"))</f>
        <v/>
      </c>
      <c r="I557" s="19" t="str">
        <f aca="false">IF($A557="","",IFERROR(INDEX(Denetimler!$D:$D,MATCH($A557,Denetimler!$A:$A,0)),"No yok"))</f>
        <v/>
      </c>
      <c r="J557" s="19" t="str">
        <f aca="false">IF($A557="","",IFERROR(INDEX(Denetimler!$E:$E,MATCH($A557,Denetimler!$A:$A,0)),"No yok"))</f>
        <v/>
      </c>
      <c r="K557" s="25" t="str">
        <f aca="false">IF($A557="","",IFERROR(INDEX(Denetimler!$B:$B,MATCH($A557,Denetimler!$A:$A,0)),"No yok"))</f>
        <v/>
      </c>
    </row>
    <row r="558" customFormat="false" ht="15" hidden="false" customHeight="false" outlineLevel="0" collapsed="false">
      <c r="D558" s="19" t="str">
        <f aca="false">IF($B558="","",IFERROR(INDEX(Madde_Listesi!$C:$C,MATCH($B558,Madde_Listesi!$B:$B,0)),"Kod yok"))</f>
        <v/>
      </c>
      <c r="E558" s="19" t="str">
        <f aca="false">IF($B558="","",IFERROR(INDEX(Madde_Listesi!$D:$D,MATCH($B558,Madde_Listesi!$B:$B,0)),"Kod yok"))</f>
        <v/>
      </c>
      <c r="F558" s="19" t="str">
        <f aca="false">IF($B558="","",IFERROR(INDEX(Madde_Listesi!$E:$E,MATCH($B558,Madde_Listesi!$B:$B,0)),"Kod yok"))</f>
        <v/>
      </c>
      <c r="G558" s="19" t="str">
        <f aca="false">IF($B558="","",IFERROR(INDEX(Madde_Listesi!$F:$F,MATCH($B558,Madde_Listesi!$B:$B,0)),"Kod yok"))</f>
        <v/>
      </c>
      <c r="H558" s="19" t="str">
        <f aca="false">IF($A558="","",IFERROR(INDEX(Denetimler!$C:$C,MATCH($A558,Denetimler!$A:$A,0)),"No yok"))</f>
        <v/>
      </c>
      <c r="I558" s="19" t="str">
        <f aca="false">IF($A558="","",IFERROR(INDEX(Denetimler!$D:$D,MATCH($A558,Denetimler!$A:$A,0)),"No yok"))</f>
        <v/>
      </c>
      <c r="J558" s="19" t="str">
        <f aca="false">IF($A558="","",IFERROR(INDEX(Denetimler!$E:$E,MATCH($A558,Denetimler!$A:$A,0)),"No yok"))</f>
        <v/>
      </c>
      <c r="K558" s="25" t="str">
        <f aca="false">IF($A558="","",IFERROR(INDEX(Denetimler!$B:$B,MATCH($A558,Denetimler!$A:$A,0)),"No yok"))</f>
        <v/>
      </c>
    </row>
    <row r="559" customFormat="false" ht="15" hidden="false" customHeight="false" outlineLevel="0" collapsed="false">
      <c r="D559" s="19" t="str">
        <f aca="false">IF($B559="","",IFERROR(INDEX(Madde_Listesi!$C:$C,MATCH($B559,Madde_Listesi!$B:$B,0)),"Kod yok"))</f>
        <v/>
      </c>
      <c r="E559" s="19" t="str">
        <f aca="false">IF($B559="","",IFERROR(INDEX(Madde_Listesi!$D:$D,MATCH($B559,Madde_Listesi!$B:$B,0)),"Kod yok"))</f>
        <v/>
      </c>
      <c r="F559" s="19" t="str">
        <f aca="false">IF($B559="","",IFERROR(INDEX(Madde_Listesi!$E:$E,MATCH($B559,Madde_Listesi!$B:$B,0)),"Kod yok"))</f>
        <v/>
      </c>
      <c r="G559" s="19" t="str">
        <f aca="false">IF($B559="","",IFERROR(INDEX(Madde_Listesi!$F:$F,MATCH($B559,Madde_Listesi!$B:$B,0)),"Kod yok"))</f>
        <v/>
      </c>
      <c r="H559" s="19" t="str">
        <f aca="false">IF($A559="","",IFERROR(INDEX(Denetimler!$C:$C,MATCH($A559,Denetimler!$A:$A,0)),"No yok"))</f>
        <v/>
      </c>
      <c r="I559" s="19" t="str">
        <f aca="false">IF($A559="","",IFERROR(INDEX(Denetimler!$D:$D,MATCH($A559,Denetimler!$A:$A,0)),"No yok"))</f>
        <v/>
      </c>
      <c r="J559" s="19" t="str">
        <f aca="false">IF($A559="","",IFERROR(INDEX(Denetimler!$E:$E,MATCH($A559,Denetimler!$A:$A,0)),"No yok"))</f>
        <v/>
      </c>
      <c r="K559" s="25" t="str">
        <f aca="false">IF($A559="","",IFERROR(INDEX(Denetimler!$B:$B,MATCH($A559,Denetimler!$A:$A,0)),"No yok"))</f>
        <v/>
      </c>
    </row>
    <row r="560" customFormat="false" ht="15" hidden="false" customHeight="false" outlineLevel="0" collapsed="false">
      <c r="D560" s="19" t="str">
        <f aca="false">IF($B560="","",IFERROR(INDEX(Madde_Listesi!$C:$C,MATCH($B560,Madde_Listesi!$B:$B,0)),"Kod yok"))</f>
        <v/>
      </c>
      <c r="E560" s="19" t="str">
        <f aca="false">IF($B560="","",IFERROR(INDEX(Madde_Listesi!$D:$D,MATCH($B560,Madde_Listesi!$B:$B,0)),"Kod yok"))</f>
        <v/>
      </c>
      <c r="F560" s="19" t="str">
        <f aca="false">IF($B560="","",IFERROR(INDEX(Madde_Listesi!$E:$E,MATCH($B560,Madde_Listesi!$B:$B,0)),"Kod yok"))</f>
        <v/>
      </c>
      <c r="G560" s="19" t="str">
        <f aca="false">IF($B560="","",IFERROR(INDEX(Madde_Listesi!$F:$F,MATCH($B560,Madde_Listesi!$B:$B,0)),"Kod yok"))</f>
        <v/>
      </c>
      <c r="H560" s="19" t="str">
        <f aca="false">IF($A560="","",IFERROR(INDEX(Denetimler!$C:$C,MATCH($A560,Denetimler!$A:$A,0)),"No yok"))</f>
        <v/>
      </c>
      <c r="I560" s="19" t="str">
        <f aca="false">IF($A560="","",IFERROR(INDEX(Denetimler!$D:$D,MATCH($A560,Denetimler!$A:$A,0)),"No yok"))</f>
        <v/>
      </c>
      <c r="J560" s="19" t="str">
        <f aca="false">IF($A560="","",IFERROR(INDEX(Denetimler!$E:$E,MATCH($A560,Denetimler!$A:$A,0)),"No yok"))</f>
        <v/>
      </c>
      <c r="K560" s="25" t="str">
        <f aca="false">IF($A560="","",IFERROR(INDEX(Denetimler!$B:$B,MATCH($A560,Denetimler!$A:$A,0)),"No yok"))</f>
        <v/>
      </c>
    </row>
    <row r="561" customFormat="false" ht="15" hidden="false" customHeight="false" outlineLevel="0" collapsed="false">
      <c r="D561" s="19" t="str">
        <f aca="false">IF($B561="","",IFERROR(INDEX(Madde_Listesi!$C:$C,MATCH($B561,Madde_Listesi!$B:$B,0)),"Kod yok"))</f>
        <v/>
      </c>
      <c r="E561" s="19" t="str">
        <f aca="false">IF($B561="","",IFERROR(INDEX(Madde_Listesi!$D:$D,MATCH($B561,Madde_Listesi!$B:$B,0)),"Kod yok"))</f>
        <v/>
      </c>
      <c r="F561" s="19" t="str">
        <f aca="false">IF($B561="","",IFERROR(INDEX(Madde_Listesi!$E:$E,MATCH($B561,Madde_Listesi!$B:$B,0)),"Kod yok"))</f>
        <v/>
      </c>
      <c r="G561" s="19" t="str">
        <f aca="false">IF($B561="","",IFERROR(INDEX(Madde_Listesi!$F:$F,MATCH($B561,Madde_Listesi!$B:$B,0)),"Kod yok"))</f>
        <v/>
      </c>
      <c r="H561" s="19" t="str">
        <f aca="false">IF($A561="","",IFERROR(INDEX(Denetimler!$C:$C,MATCH($A561,Denetimler!$A:$A,0)),"No yok"))</f>
        <v/>
      </c>
      <c r="I561" s="19" t="str">
        <f aca="false">IF($A561="","",IFERROR(INDEX(Denetimler!$D:$D,MATCH($A561,Denetimler!$A:$A,0)),"No yok"))</f>
        <v/>
      </c>
      <c r="J561" s="19" t="str">
        <f aca="false">IF($A561="","",IFERROR(INDEX(Denetimler!$E:$E,MATCH($A561,Denetimler!$A:$A,0)),"No yok"))</f>
        <v/>
      </c>
      <c r="K561" s="25" t="str">
        <f aca="false">IF($A561="","",IFERROR(INDEX(Denetimler!$B:$B,MATCH($A561,Denetimler!$A:$A,0)),"No yok"))</f>
        <v/>
      </c>
    </row>
    <row r="562" customFormat="false" ht="15" hidden="false" customHeight="false" outlineLevel="0" collapsed="false">
      <c r="D562" s="19" t="str">
        <f aca="false">IF($B562="","",IFERROR(INDEX(Madde_Listesi!$C:$C,MATCH($B562,Madde_Listesi!$B:$B,0)),"Kod yok"))</f>
        <v/>
      </c>
      <c r="E562" s="19" t="str">
        <f aca="false">IF($B562="","",IFERROR(INDEX(Madde_Listesi!$D:$D,MATCH($B562,Madde_Listesi!$B:$B,0)),"Kod yok"))</f>
        <v/>
      </c>
      <c r="F562" s="19" t="str">
        <f aca="false">IF($B562="","",IFERROR(INDEX(Madde_Listesi!$E:$E,MATCH($B562,Madde_Listesi!$B:$B,0)),"Kod yok"))</f>
        <v/>
      </c>
      <c r="G562" s="19" t="str">
        <f aca="false">IF($B562="","",IFERROR(INDEX(Madde_Listesi!$F:$F,MATCH($B562,Madde_Listesi!$B:$B,0)),"Kod yok"))</f>
        <v/>
      </c>
      <c r="H562" s="19" t="str">
        <f aca="false">IF($A562="","",IFERROR(INDEX(Denetimler!$C:$C,MATCH($A562,Denetimler!$A:$A,0)),"No yok"))</f>
        <v/>
      </c>
      <c r="I562" s="19" t="str">
        <f aca="false">IF($A562="","",IFERROR(INDEX(Denetimler!$D:$D,MATCH($A562,Denetimler!$A:$A,0)),"No yok"))</f>
        <v/>
      </c>
      <c r="J562" s="19" t="str">
        <f aca="false">IF($A562="","",IFERROR(INDEX(Denetimler!$E:$E,MATCH($A562,Denetimler!$A:$A,0)),"No yok"))</f>
        <v/>
      </c>
      <c r="K562" s="25" t="str">
        <f aca="false">IF($A562="","",IFERROR(INDEX(Denetimler!$B:$B,MATCH($A562,Denetimler!$A:$A,0)),"No yok"))</f>
        <v/>
      </c>
    </row>
    <row r="563" customFormat="false" ht="15" hidden="false" customHeight="false" outlineLevel="0" collapsed="false">
      <c r="D563" s="19" t="str">
        <f aca="false">IF($B563="","",IFERROR(INDEX(Madde_Listesi!$C:$C,MATCH($B563,Madde_Listesi!$B:$B,0)),"Kod yok"))</f>
        <v/>
      </c>
      <c r="E563" s="19" t="str">
        <f aca="false">IF($B563="","",IFERROR(INDEX(Madde_Listesi!$D:$D,MATCH($B563,Madde_Listesi!$B:$B,0)),"Kod yok"))</f>
        <v/>
      </c>
      <c r="F563" s="19" t="str">
        <f aca="false">IF($B563="","",IFERROR(INDEX(Madde_Listesi!$E:$E,MATCH($B563,Madde_Listesi!$B:$B,0)),"Kod yok"))</f>
        <v/>
      </c>
      <c r="G563" s="19" t="str">
        <f aca="false">IF($B563="","",IFERROR(INDEX(Madde_Listesi!$F:$F,MATCH($B563,Madde_Listesi!$B:$B,0)),"Kod yok"))</f>
        <v/>
      </c>
      <c r="H563" s="19" t="str">
        <f aca="false">IF($A563="","",IFERROR(INDEX(Denetimler!$C:$C,MATCH($A563,Denetimler!$A:$A,0)),"No yok"))</f>
        <v/>
      </c>
      <c r="I563" s="19" t="str">
        <f aca="false">IF($A563="","",IFERROR(INDEX(Denetimler!$D:$D,MATCH($A563,Denetimler!$A:$A,0)),"No yok"))</f>
        <v/>
      </c>
      <c r="J563" s="19" t="str">
        <f aca="false">IF($A563="","",IFERROR(INDEX(Denetimler!$E:$E,MATCH($A563,Denetimler!$A:$A,0)),"No yok"))</f>
        <v/>
      </c>
      <c r="K563" s="25" t="str">
        <f aca="false">IF($A563="","",IFERROR(INDEX(Denetimler!$B:$B,MATCH($A563,Denetimler!$A:$A,0)),"No yok"))</f>
        <v/>
      </c>
    </row>
    <row r="564" customFormat="false" ht="15" hidden="false" customHeight="false" outlineLevel="0" collapsed="false">
      <c r="D564" s="19" t="str">
        <f aca="false">IF($B564="","",IFERROR(INDEX(Madde_Listesi!$C:$C,MATCH($B564,Madde_Listesi!$B:$B,0)),"Kod yok"))</f>
        <v/>
      </c>
      <c r="E564" s="19" t="str">
        <f aca="false">IF($B564="","",IFERROR(INDEX(Madde_Listesi!$D:$D,MATCH($B564,Madde_Listesi!$B:$B,0)),"Kod yok"))</f>
        <v/>
      </c>
      <c r="F564" s="19" t="str">
        <f aca="false">IF($B564="","",IFERROR(INDEX(Madde_Listesi!$E:$E,MATCH($B564,Madde_Listesi!$B:$B,0)),"Kod yok"))</f>
        <v/>
      </c>
      <c r="G564" s="19" t="str">
        <f aca="false">IF($B564="","",IFERROR(INDEX(Madde_Listesi!$F:$F,MATCH($B564,Madde_Listesi!$B:$B,0)),"Kod yok"))</f>
        <v/>
      </c>
      <c r="H564" s="19" t="str">
        <f aca="false">IF($A564="","",IFERROR(INDEX(Denetimler!$C:$C,MATCH($A564,Denetimler!$A:$A,0)),"No yok"))</f>
        <v/>
      </c>
      <c r="I564" s="19" t="str">
        <f aca="false">IF($A564="","",IFERROR(INDEX(Denetimler!$D:$D,MATCH($A564,Denetimler!$A:$A,0)),"No yok"))</f>
        <v/>
      </c>
      <c r="J564" s="19" t="str">
        <f aca="false">IF($A564="","",IFERROR(INDEX(Denetimler!$E:$E,MATCH($A564,Denetimler!$A:$A,0)),"No yok"))</f>
        <v/>
      </c>
      <c r="K564" s="25" t="str">
        <f aca="false">IF($A564="","",IFERROR(INDEX(Denetimler!$B:$B,MATCH($A564,Denetimler!$A:$A,0)),"No yok"))</f>
        <v/>
      </c>
    </row>
    <row r="565" customFormat="false" ht="15" hidden="false" customHeight="false" outlineLevel="0" collapsed="false">
      <c r="D565" s="19" t="str">
        <f aca="false">IF($B565="","",IFERROR(INDEX(Madde_Listesi!$C:$C,MATCH($B565,Madde_Listesi!$B:$B,0)),"Kod yok"))</f>
        <v/>
      </c>
      <c r="E565" s="19" t="str">
        <f aca="false">IF($B565="","",IFERROR(INDEX(Madde_Listesi!$D:$D,MATCH($B565,Madde_Listesi!$B:$B,0)),"Kod yok"))</f>
        <v/>
      </c>
      <c r="F565" s="19" t="str">
        <f aca="false">IF($B565="","",IFERROR(INDEX(Madde_Listesi!$E:$E,MATCH($B565,Madde_Listesi!$B:$B,0)),"Kod yok"))</f>
        <v/>
      </c>
      <c r="G565" s="19" t="str">
        <f aca="false">IF($B565="","",IFERROR(INDEX(Madde_Listesi!$F:$F,MATCH($B565,Madde_Listesi!$B:$B,0)),"Kod yok"))</f>
        <v/>
      </c>
      <c r="H565" s="19" t="str">
        <f aca="false">IF($A565="","",IFERROR(INDEX(Denetimler!$C:$C,MATCH($A565,Denetimler!$A:$A,0)),"No yok"))</f>
        <v/>
      </c>
      <c r="I565" s="19" t="str">
        <f aca="false">IF($A565="","",IFERROR(INDEX(Denetimler!$D:$D,MATCH($A565,Denetimler!$A:$A,0)),"No yok"))</f>
        <v/>
      </c>
      <c r="J565" s="19" t="str">
        <f aca="false">IF($A565="","",IFERROR(INDEX(Denetimler!$E:$E,MATCH($A565,Denetimler!$A:$A,0)),"No yok"))</f>
        <v/>
      </c>
      <c r="K565" s="25" t="str">
        <f aca="false">IF($A565="","",IFERROR(INDEX(Denetimler!$B:$B,MATCH($A565,Denetimler!$A:$A,0)),"No yok"))</f>
        <v/>
      </c>
    </row>
    <row r="566" customFormat="false" ht="15" hidden="false" customHeight="false" outlineLevel="0" collapsed="false">
      <c r="D566" s="19" t="str">
        <f aca="false">IF($B566="","",IFERROR(INDEX(Madde_Listesi!$C:$C,MATCH($B566,Madde_Listesi!$B:$B,0)),"Kod yok"))</f>
        <v/>
      </c>
      <c r="E566" s="19" t="str">
        <f aca="false">IF($B566="","",IFERROR(INDEX(Madde_Listesi!$D:$D,MATCH($B566,Madde_Listesi!$B:$B,0)),"Kod yok"))</f>
        <v/>
      </c>
      <c r="F566" s="19" t="str">
        <f aca="false">IF($B566="","",IFERROR(INDEX(Madde_Listesi!$E:$E,MATCH($B566,Madde_Listesi!$B:$B,0)),"Kod yok"))</f>
        <v/>
      </c>
      <c r="G566" s="19" t="str">
        <f aca="false">IF($B566="","",IFERROR(INDEX(Madde_Listesi!$F:$F,MATCH($B566,Madde_Listesi!$B:$B,0)),"Kod yok"))</f>
        <v/>
      </c>
      <c r="H566" s="19" t="str">
        <f aca="false">IF($A566="","",IFERROR(INDEX(Denetimler!$C:$C,MATCH($A566,Denetimler!$A:$A,0)),"No yok"))</f>
        <v/>
      </c>
      <c r="I566" s="19" t="str">
        <f aca="false">IF($A566="","",IFERROR(INDEX(Denetimler!$D:$D,MATCH($A566,Denetimler!$A:$A,0)),"No yok"))</f>
        <v/>
      </c>
      <c r="J566" s="19" t="str">
        <f aca="false">IF($A566="","",IFERROR(INDEX(Denetimler!$E:$E,MATCH($A566,Denetimler!$A:$A,0)),"No yok"))</f>
        <v/>
      </c>
      <c r="K566" s="25" t="str">
        <f aca="false">IF($A566="","",IFERROR(INDEX(Denetimler!$B:$B,MATCH($A566,Denetimler!$A:$A,0)),"No yok"))</f>
        <v/>
      </c>
    </row>
    <row r="567" customFormat="false" ht="15" hidden="false" customHeight="false" outlineLevel="0" collapsed="false">
      <c r="D567" s="19" t="str">
        <f aca="false">IF($B567="","",IFERROR(INDEX(Madde_Listesi!$C:$C,MATCH($B567,Madde_Listesi!$B:$B,0)),"Kod yok"))</f>
        <v/>
      </c>
      <c r="E567" s="19" t="str">
        <f aca="false">IF($B567="","",IFERROR(INDEX(Madde_Listesi!$D:$D,MATCH($B567,Madde_Listesi!$B:$B,0)),"Kod yok"))</f>
        <v/>
      </c>
      <c r="F567" s="19" t="str">
        <f aca="false">IF($B567="","",IFERROR(INDEX(Madde_Listesi!$E:$E,MATCH($B567,Madde_Listesi!$B:$B,0)),"Kod yok"))</f>
        <v/>
      </c>
      <c r="G567" s="19" t="str">
        <f aca="false">IF($B567="","",IFERROR(INDEX(Madde_Listesi!$F:$F,MATCH($B567,Madde_Listesi!$B:$B,0)),"Kod yok"))</f>
        <v/>
      </c>
      <c r="H567" s="19" t="str">
        <f aca="false">IF($A567="","",IFERROR(INDEX(Denetimler!$C:$C,MATCH($A567,Denetimler!$A:$A,0)),"No yok"))</f>
        <v/>
      </c>
      <c r="I567" s="19" t="str">
        <f aca="false">IF($A567="","",IFERROR(INDEX(Denetimler!$D:$D,MATCH($A567,Denetimler!$A:$A,0)),"No yok"))</f>
        <v/>
      </c>
      <c r="J567" s="19" t="str">
        <f aca="false">IF($A567="","",IFERROR(INDEX(Denetimler!$E:$E,MATCH($A567,Denetimler!$A:$A,0)),"No yok"))</f>
        <v/>
      </c>
      <c r="K567" s="25" t="str">
        <f aca="false">IF($A567="","",IFERROR(INDEX(Denetimler!$B:$B,MATCH($A567,Denetimler!$A:$A,0)),"No yok"))</f>
        <v/>
      </c>
    </row>
    <row r="568" customFormat="false" ht="15" hidden="false" customHeight="false" outlineLevel="0" collapsed="false">
      <c r="D568" s="19" t="str">
        <f aca="false">IF($B568="","",IFERROR(INDEX(Madde_Listesi!$C:$C,MATCH($B568,Madde_Listesi!$B:$B,0)),"Kod yok"))</f>
        <v/>
      </c>
      <c r="E568" s="19" t="str">
        <f aca="false">IF($B568="","",IFERROR(INDEX(Madde_Listesi!$D:$D,MATCH($B568,Madde_Listesi!$B:$B,0)),"Kod yok"))</f>
        <v/>
      </c>
      <c r="F568" s="19" t="str">
        <f aca="false">IF($B568="","",IFERROR(INDEX(Madde_Listesi!$E:$E,MATCH($B568,Madde_Listesi!$B:$B,0)),"Kod yok"))</f>
        <v/>
      </c>
      <c r="G568" s="19" t="str">
        <f aca="false">IF($B568="","",IFERROR(INDEX(Madde_Listesi!$F:$F,MATCH($B568,Madde_Listesi!$B:$B,0)),"Kod yok"))</f>
        <v/>
      </c>
      <c r="H568" s="19" t="str">
        <f aca="false">IF($A568="","",IFERROR(INDEX(Denetimler!$C:$C,MATCH($A568,Denetimler!$A:$A,0)),"No yok"))</f>
        <v/>
      </c>
      <c r="I568" s="19" t="str">
        <f aca="false">IF($A568="","",IFERROR(INDEX(Denetimler!$D:$D,MATCH($A568,Denetimler!$A:$A,0)),"No yok"))</f>
        <v/>
      </c>
      <c r="J568" s="19" t="str">
        <f aca="false">IF($A568="","",IFERROR(INDEX(Denetimler!$E:$E,MATCH($A568,Denetimler!$A:$A,0)),"No yok"))</f>
        <v/>
      </c>
      <c r="K568" s="25" t="str">
        <f aca="false">IF($A568="","",IFERROR(INDEX(Denetimler!$B:$B,MATCH($A568,Denetimler!$A:$A,0)),"No yok"))</f>
        <v/>
      </c>
    </row>
    <row r="569" customFormat="false" ht="15" hidden="false" customHeight="false" outlineLevel="0" collapsed="false">
      <c r="D569" s="19" t="str">
        <f aca="false">IF($B569="","",IFERROR(INDEX(Madde_Listesi!$C:$C,MATCH($B569,Madde_Listesi!$B:$B,0)),"Kod yok"))</f>
        <v/>
      </c>
      <c r="E569" s="19" t="str">
        <f aca="false">IF($B569="","",IFERROR(INDEX(Madde_Listesi!$D:$D,MATCH($B569,Madde_Listesi!$B:$B,0)),"Kod yok"))</f>
        <v/>
      </c>
      <c r="F569" s="19" t="str">
        <f aca="false">IF($B569="","",IFERROR(INDEX(Madde_Listesi!$E:$E,MATCH($B569,Madde_Listesi!$B:$B,0)),"Kod yok"))</f>
        <v/>
      </c>
      <c r="G569" s="19" t="str">
        <f aca="false">IF($B569="","",IFERROR(INDEX(Madde_Listesi!$F:$F,MATCH($B569,Madde_Listesi!$B:$B,0)),"Kod yok"))</f>
        <v/>
      </c>
      <c r="H569" s="19" t="str">
        <f aca="false">IF($A569="","",IFERROR(INDEX(Denetimler!$C:$C,MATCH($A569,Denetimler!$A:$A,0)),"No yok"))</f>
        <v/>
      </c>
      <c r="I569" s="19" t="str">
        <f aca="false">IF($A569="","",IFERROR(INDEX(Denetimler!$D:$D,MATCH($A569,Denetimler!$A:$A,0)),"No yok"))</f>
        <v/>
      </c>
      <c r="J569" s="19" t="str">
        <f aca="false">IF($A569="","",IFERROR(INDEX(Denetimler!$E:$E,MATCH($A569,Denetimler!$A:$A,0)),"No yok"))</f>
        <v/>
      </c>
      <c r="K569" s="25" t="str">
        <f aca="false">IF($A569="","",IFERROR(INDEX(Denetimler!$B:$B,MATCH($A569,Denetimler!$A:$A,0)),"No yok"))</f>
        <v/>
      </c>
    </row>
    <row r="570" customFormat="false" ht="15" hidden="false" customHeight="false" outlineLevel="0" collapsed="false">
      <c r="D570" s="19" t="str">
        <f aca="false">IF($B570="","",IFERROR(INDEX(Madde_Listesi!$C:$C,MATCH($B570,Madde_Listesi!$B:$B,0)),"Kod yok"))</f>
        <v/>
      </c>
      <c r="E570" s="19" t="str">
        <f aca="false">IF($B570="","",IFERROR(INDEX(Madde_Listesi!$D:$D,MATCH($B570,Madde_Listesi!$B:$B,0)),"Kod yok"))</f>
        <v/>
      </c>
      <c r="F570" s="19" t="str">
        <f aca="false">IF($B570="","",IFERROR(INDEX(Madde_Listesi!$E:$E,MATCH($B570,Madde_Listesi!$B:$B,0)),"Kod yok"))</f>
        <v/>
      </c>
      <c r="G570" s="19" t="str">
        <f aca="false">IF($B570="","",IFERROR(INDEX(Madde_Listesi!$F:$F,MATCH($B570,Madde_Listesi!$B:$B,0)),"Kod yok"))</f>
        <v/>
      </c>
      <c r="H570" s="19" t="str">
        <f aca="false">IF($A570="","",IFERROR(INDEX(Denetimler!$C:$C,MATCH($A570,Denetimler!$A:$A,0)),"No yok"))</f>
        <v/>
      </c>
      <c r="I570" s="19" t="str">
        <f aca="false">IF($A570="","",IFERROR(INDEX(Denetimler!$D:$D,MATCH($A570,Denetimler!$A:$A,0)),"No yok"))</f>
        <v/>
      </c>
      <c r="J570" s="19" t="str">
        <f aca="false">IF($A570="","",IFERROR(INDEX(Denetimler!$E:$E,MATCH($A570,Denetimler!$A:$A,0)),"No yok"))</f>
        <v/>
      </c>
      <c r="K570" s="25" t="str">
        <f aca="false">IF($A570="","",IFERROR(INDEX(Denetimler!$B:$B,MATCH($A570,Denetimler!$A:$A,0)),"No yok"))</f>
        <v/>
      </c>
    </row>
  </sheetData>
  <conditionalFormatting sqref="F2:F570">
    <cfRule type="expression" priority="2" aboveAverage="0" equalAverage="0" bottom="0" percent="0" rank="0" text="" dxfId="0">
      <formula>F2="Kritik"</formula>
    </cfRule>
  </conditionalFormatting>
  <dataValidations count="1">
    <dataValidation allowBlank="false" errorStyle="stop" operator="between" showDropDown="false" showErrorMessage="false" showInputMessage="false" sqref="B2:B570" type="list">
      <formula1>Madde_Listesi!$B$2:$B$24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1"/>
    <col collapsed="false" customWidth="true" hidden="false" outlineLevel="0" max="4" min="4" style="0" width="38"/>
    <col collapsed="false" customWidth="true" hidden="false" outlineLevel="0" max="5" min="5" style="0" width="8"/>
    <col collapsed="false" customWidth="true" hidden="false" outlineLevel="0" max="6" min="6" style="0" width="44"/>
    <col collapsed="false" customWidth="true" hidden="false" outlineLevel="0" max="7" min="7" style="0" width="17"/>
    <col collapsed="false" customWidth="true" hidden="false" outlineLevel="0" max="8" min="8" style="0" width="11"/>
    <col collapsed="false" customWidth="true" hidden="false" outlineLevel="0" max="10" min="9" style="0" width="12"/>
    <col collapsed="false" customWidth="true" hidden="false" outlineLevel="0" max="11" min="11" style="0" width="10"/>
  </cols>
  <sheetData>
    <row r="1" customFormat="false" ht="30" hidden="false" customHeight="true" outlineLevel="0" collapsed="false">
      <c r="A1" s="5" t="s">
        <v>103</v>
      </c>
      <c r="B1" s="5" t="s">
        <v>44</v>
      </c>
      <c r="C1" s="5" t="s">
        <v>16</v>
      </c>
      <c r="D1" s="5" t="s">
        <v>45</v>
      </c>
      <c r="E1" s="5" t="s">
        <v>47</v>
      </c>
      <c r="F1" s="5" t="s">
        <v>229</v>
      </c>
      <c r="G1" s="5" t="s">
        <v>230</v>
      </c>
      <c r="H1" s="5" t="s">
        <v>231</v>
      </c>
      <c r="I1" s="5" t="s">
        <v>232</v>
      </c>
      <c r="J1" s="5" t="s">
        <v>83</v>
      </c>
      <c r="K1" s="5" t="s">
        <v>233</v>
      </c>
    </row>
    <row r="2" customFormat="false" ht="15" hidden="false" customHeight="false" outlineLevel="0" collapsed="false">
      <c r="A2" s="21" t="s">
        <v>122</v>
      </c>
      <c r="B2" s="21" t="s">
        <v>205</v>
      </c>
      <c r="C2" s="6" t="str">
        <f aca="false">IFERROR(INDEX(Denetimler!$C:$C,MATCH(A2,Denetimler!$A:$A,0)),"")</f>
        <v>Mağaza A</v>
      </c>
      <c r="D2" s="6" t="str">
        <f aca="false">IFERROR(INDEX(Madde_Listesi!$C:$C,MATCH(B2,Madde_Listesi!$B:$B,0)),"")</f>
        <v>Stok sayımı ve sipariş kayıtları tutarlı</v>
      </c>
      <c r="E2" s="6" t="str">
        <f aca="false">IFERROR(INDEX(Madde_Listesi!$E:$E,MATCH(B2,Madde_Listesi!$B:$B,0)),"")</f>
        <v>Major</v>
      </c>
      <c r="F2" s="21" t="s">
        <v>234</v>
      </c>
      <c r="G2" s="21" t="s">
        <v>235</v>
      </c>
      <c r="H2" s="22" t="n">
        <v>46073</v>
      </c>
      <c r="I2" s="23" t="n">
        <v>46073</v>
      </c>
      <c r="J2" s="17" t="str">
        <f aca="false">IF(A2="","",IF(I2&lt;&gt;"",IF(I2&lt;=H2,"Kapandı","Geç kapandı"),IF(H2&lt;Ayarlar!$B$3,"Gecikmiş","Açık")))</f>
        <v>Kapandı</v>
      </c>
      <c r="K2" s="9" t="n">
        <f aca="false">IF(A2="","",IF(I2&lt;&gt;"",MAX(0,I2-H2),MAX(0,Ayarlar!$B$3-H2)))</f>
        <v>0</v>
      </c>
    </row>
    <row r="3" customFormat="false" ht="15" hidden="false" customHeight="false" outlineLevel="0" collapsed="false">
      <c r="A3" s="21" t="s">
        <v>122</v>
      </c>
      <c r="B3" s="21" t="s">
        <v>207</v>
      </c>
      <c r="C3" s="6" t="str">
        <f aca="false">IFERROR(INDEX(Denetimler!$C:$C,MATCH(A3,Denetimler!$A:$A,0)),"")</f>
        <v>Mağaza A</v>
      </c>
      <c r="D3" s="6" t="str">
        <f aca="false">IFERROR(INDEX(Madde_Listesi!$C:$C,MATCH(B3,Madde_Listesi!$B:$B,0)),"")</f>
        <v>Vardiya planı yoğunluğa uygun hazırlanmış</v>
      </c>
      <c r="E3" s="6" t="str">
        <f aca="false">IFERROR(INDEX(Madde_Listesi!$E:$E,MATCH(B3,Madde_Listesi!$B:$B,0)),"")</f>
        <v>Major</v>
      </c>
      <c r="F3" s="21" t="s">
        <v>236</v>
      </c>
      <c r="G3" s="21" t="s">
        <v>237</v>
      </c>
      <c r="H3" s="22" t="n">
        <v>46073</v>
      </c>
      <c r="I3" s="23" t="n">
        <v>46077</v>
      </c>
      <c r="J3" s="17" t="str">
        <f aca="false">IF(A3="","",IF(I3&lt;&gt;"",IF(I3&lt;=H3,"Kapandı","Geç kapandı"),IF(H3&lt;Ayarlar!$B$3,"Gecikmiş","Açık")))</f>
        <v>Geç kapandı</v>
      </c>
      <c r="K3" s="9" t="n">
        <f aca="false">IF(A3="","",IF(I3&lt;&gt;"",MAX(0,I3-H3),MAX(0,Ayarlar!$B$3-H3)))</f>
        <v>4</v>
      </c>
    </row>
    <row r="4" customFormat="false" ht="15" hidden="false" customHeight="false" outlineLevel="0" collapsed="false">
      <c r="A4" s="21" t="s">
        <v>119</v>
      </c>
      <c r="B4" s="21" t="s">
        <v>210</v>
      </c>
      <c r="C4" s="6" t="str">
        <f aca="false">IFERROR(INDEX(Denetimler!$C:$C,MATCH(A4,Denetimler!$A:$A,0)),"")</f>
        <v>Mağaza A</v>
      </c>
      <c r="D4" s="6" t="str">
        <f aca="false">IFERROR(INDEX(Madde_Listesi!$C:$C,MATCH(B4,Madde_Listesi!$B:$B,0)),"")</f>
        <v>Kimyasallar etiketli ve gıdadan ayrı saklanıyor</v>
      </c>
      <c r="E4" s="6" t="str">
        <f aca="false">IFERROR(INDEX(Madde_Listesi!$E:$E,MATCH(B4,Madde_Listesi!$B:$B,0)),"")</f>
        <v>Major</v>
      </c>
      <c r="F4" s="21" t="s">
        <v>238</v>
      </c>
      <c r="G4" s="21" t="s">
        <v>237</v>
      </c>
      <c r="H4" s="22" t="n">
        <v>46070</v>
      </c>
      <c r="I4" s="23" t="n">
        <v>46074</v>
      </c>
      <c r="J4" s="17" t="str">
        <f aca="false">IF(A4="","",IF(I4&lt;&gt;"",IF(I4&lt;=H4,"Kapandı","Geç kapandı"),IF(H4&lt;Ayarlar!$B$3,"Gecikmiş","Açık")))</f>
        <v>Geç kapandı</v>
      </c>
      <c r="K4" s="9" t="n">
        <f aca="false">IF(A4="","",IF(I4&lt;&gt;"",MAX(0,I4-H4),MAX(0,Ayarlar!$B$3-H4)))</f>
        <v>4</v>
      </c>
    </row>
    <row r="5" customFormat="false" ht="15" hidden="false" customHeight="false" outlineLevel="0" collapsed="false">
      <c r="A5" s="21" t="s">
        <v>119</v>
      </c>
      <c r="B5" s="21" t="s">
        <v>214</v>
      </c>
      <c r="C5" s="6" t="str">
        <f aca="false">IFERROR(INDEX(Denetimler!$C:$C,MATCH(A5,Denetimler!$A:$A,0)),"")</f>
        <v>Mağaza A</v>
      </c>
      <c r="D5" s="6" t="str">
        <f aca="false">IFERROR(INDEX(Madde_Listesi!$C:$C,MATCH(B5,Madde_Listesi!$B:$B,0)),"")</f>
        <v>Sıcaklık kayıtları tam ve zamanında tutulmuş</v>
      </c>
      <c r="E5" s="6" t="str">
        <f aca="false">IFERROR(INDEX(Madde_Listesi!$E:$E,MATCH(B5,Madde_Listesi!$B:$B,0)),"")</f>
        <v>Major</v>
      </c>
      <c r="F5" s="21" t="s">
        <v>239</v>
      </c>
      <c r="G5" s="21" t="s">
        <v>235</v>
      </c>
      <c r="H5" s="22" t="n">
        <v>46070</v>
      </c>
      <c r="I5" s="23" t="n">
        <v>46060</v>
      </c>
      <c r="J5" s="17" t="str">
        <f aca="false">IF(A5="","",IF(I5&lt;&gt;"",IF(I5&lt;=H5,"Kapandı","Geç kapandı"),IF(H5&lt;Ayarlar!$B$3,"Gecikmiş","Açık")))</f>
        <v>Kapandı</v>
      </c>
      <c r="K5" s="9" t="n">
        <f aca="false">IF(A5="","",IF(I5&lt;&gt;"",MAX(0,I5-H5),MAX(0,Ayarlar!$B$3-H5)))</f>
        <v>0</v>
      </c>
    </row>
    <row r="6" customFormat="false" ht="15" hidden="false" customHeight="false" outlineLevel="0" collapsed="false">
      <c r="A6" s="21" t="s">
        <v>114</v>
      </c>
      <c r="B6" s="21" t="s">
        <v>207</v>
      </c>
      <c r="C6" s="6" t="str">
        <f aca="false">IFERROR(INDEX(Denetimler!$C:$C,MATCH(A6,Denetimler!$A:$A,0)),"")</f>
        <v>Mağaza B</v>
      </c>
      <c r="D6" s="6" t="str">
        <f aca="false">IFERROR(INDEX(Madde_Listesi!$C:$C,MATCH(B6,Madde_Listesi!$B:$B,0)),"")</f>
        <v>Vardiya planı yoğunluğa uygun hazırlanmış</v>
      </c>
      <c r="E6" s="6" t="str">
        <f aca="false">IFERROR(INDEX(Madde_Listesi!$E:$E,MATCH(B6,Madde_Listesi!$B:$B,0)),"")</f>
        <v>Major</v>
      </c>
      <c r="F6" s="21" t="s">
        <v>236</v>
      </c>
      <c r="G6" s="21" t="s">
        <v>237</v>
      </c>
      <c r="H6" s="22" t="n">
        <v>46063</v>
      </c>
      <c r="I6" s="23"/>
      <c r="J6" s="17" t="str">
        <f aca="false">IF(A6="","",IF(I6&lt;&gt;"",IF(I6&lt;=H6,"Kapandı","Geç kapandı"),IF(H6&lt;Ayarlar!$B$3,"Gecikmiş","Açık")))</f>
        <v>Gecikmiş</v>
      </c>
      <c r="K6" s="9" t="n">
        <f aca="false">IF(A6="","",IF(I6&lt;&gt;"",MAX(0,I6-H6),MAX(0,Ayarlar!$B$3-H6)))</f>
        <v>216</v>
      </c>
    </row>
    <row r="7" customFormat="false" ht="15" hidden="false" customHeight="false" outlineLevel="0" collapsed="false">
      <c r="A7" s="21" t="s">
        <v>124</v>
      </c>
      <c r="B7" s="21" t="s">
        <v>214</v>
      </c>
      <c r="C7" s="6" t="str">
        <f aca="false">IFERROR(INDEX(Denetimler!$C:$C,MATCH(A7,Denetimler!$A:$A,0)),"")</f>
        <v>Mağaza B</v>
      </c>
      <c r="D7" s="6" t="str">
        <f aca="false">IFERROR(INDEX(Madde_Listesi!$C:$C,MATCH(B7,Madde_Listesi!$B:$B,0)),"")</f>
        <v>Sıcaklık kayıtları tam ve zamanında tutulmuş</v>
      </c>
      <c r="E7" s="6" t="str">
        <f aca="false">IFERROR(INDEX(Madde_Listesi!$E:$E,MATCH(B7,Madde_Listesi!$B:$B,0)),"")</f>
        <v>Major</v>
      </c>
      <c r="F7" s="21" t="s">
        <v>239</v>
      </c>
      <c r="G7" s="21" t="s">
        <v>237</v>
      </c>
      <c r="H7" s="22" t="n">
        <v>46074</v>
      </c>
      <c r="I7" s="23" t="n">
        <v>46064</v>
      </c>
      <c r="J7" s="17" t="str">
        <f aca="false">IF(A7="","",IF(I7&lt;&gt;"",IF(I7&lt;=H7,"Kapandı","Geç kapandı"),IF(H7&lt;Ayarlar!$B$3,"Gecikmiş","Açık")))</f>
        <v>Kapandı</v>
      </c>
      <c r="K7" s="9" t="n">
        <f aca="false">IF(A7="","",IF(I7&lt;&gt;"",MAX(0,I7-H7),MAX(0,Ayarlar!$B$3-H7)))</f>
        <v>0</v>
      </c>
    </row>
    <row r="8" customFormat="false" ht="15" hidden="false" customHeight="false" outlineLevel="0" collapsed="false">
      <c r="A8" s="21" t="s">
        <v>124</v>
      </c>
      <c r="B8" s="21" t="s">
        <v>214</v>
      </c>
      <c r="C8" s="6" t="str">
        <f aca="false">IFERROR(INDEX(Denetimler!$C:$C,MATCH(A8,Denetimler!$A:$A,0)),"")</f>
        <v>Mağaza B</v>
      </c>
      <c r="D8" s="6" t="str">
        <f aca="false">IFERROR(INDEX(Madde_Listesi!$C:$C,MATCH(B8,Madde_Listesi!$B:$B,0)),"")</f>
        <v>Sıcaklık kayıtları tam ve zamanında tutulmuş</v>
      </c>
      <c r="E8" s="6" t="str">
        <f aca="false">IFERROR(INDEX(Madde_Listesi!$E:$E,MATCH(B8,Madde_Listesi!$B:$B,0)),"")</f>
        <v>Major</v>
      </c>
      <c r="F8" s="21" t="s">
        <v>239</v>
      </c>
      <c r="G8" s="21" t="s">
        <v>235</v>
      </c>
      <c r="H8" s="22" t="n">
        <v>46074</v>
      </c>
      <c r="I8" s="23" t="n">
        <v>46078</v>
      </c>
      <c r="J8" s="17" t="str">
        <f aca="false">IF(A8="","",IF(I8&lt;&gt;"",IF(I8&lt;=H8,"Kapandı","Geç kapandı"),IF(H8&lt;Ayarlar!$B$3,"Gecikmiş","Açık")))</f>
        <v>Geç kapandı</v>
      </c>
      <c r="K8" s="9" t="n">
        <f aca="false">IF(A8="","",IF(I8&lt;&gt;"",MAX(0,I8-H8),MAX(0,Ayarlar!$B$3-H8)))</f>
        <v>4</v>
      </c>
    </row>
    <row r="9" customFormat="false" ht="15" hidden="false" customHeight="false" outlineLevel="0" collapsed="false">
      <c r="A9" s="21" t="s">
        <v>135</v>
      </c>
      <c r="B9" s="21" t="s">
        <v>205</v>
      </c>
      <c r="C9" s="6" t="str">
        <f aca="false">IFERROR(INDEX(Denetimler!$C:$C,MATCH(A9,Denetimler!$A:$A,0)),"")</f>
        <v>Mağaza C</v>
      </c>
      <c r="D9" s="6" t="str">
        <f aca="false">IFERROR(INDEX(Madde_Listesi!$C:$C,MATCH(B9,Madde_Listesi!$B:$B,0)),"")</f>
        <v>Stok sayımı ve sipariş kayıtları tutarlı</v>
      </c>
      <c r="E9" s="6" t="str">
        <f aca="false">IFERROR(INDEX(Madde_Listesi!$E:$E,MATCH(B9,Madde_Listesi!$B:$B,0)),"")</f>
        <v>Major</v>
      </c>
      <c r="F9" s="21" t="s">
        <v>234</v>
      </c>
      <c r="G9" s="21" t="s">
        <v>240</v>
      </c>
      <c r="H9" s="22" t="n">
        <v>46099</v>
      </c>
      <c r="I9" s="23" t="n">
        <v>46094</v>
      </c>
      <c r="J9" s="17" t="str">
        <f aca="false">IF(A9="","",IF(I9&lt;&gt;"",IF(I9&lt;=H9,"Kapandı","Geç kapandı"),IF(H9&lt;Ayarlar!$B$3,"Gecikmiş","Açık")))</f>
        <v>Kapandı</v>
      </c>
      <c r="K9" s="9" t="n">
        <f aca="false">IF(A9="","",IF(I9&lt;&gt;"",MAX(0,I9-H9),MAX(0,Ayarlar!$B$3-H9)))</f>
        <v>0</v>
      </c>
    </row>
    <row r="10" customFormat="false" ht="15" hidden="false" customHeight="false" outlineLevel="0" collapsed="false">
      <c r="A10" s="21" t="s">
        <v>135</v>
      </c>
      <c r="B10" s="21" t="s">
        <v>205</v>
      </c>
      <c r="C10" s="6" t="str">
        <f aca="false">IFERROR(INDEX(Denetimler!$C:$C,MATCH(A10,Denetimler!$A:$A,0)),"")</f>
        <v>Mağaza C</v>
      </c>
      <c r="D10" s="6" t="str">
        <f aca="false">IFERROR(INDEX(Madde_Listesi!$C:$C,MATCH(B10,Madde_Listesi!$B:$B,0)),"")</f>
        <v>Stok sayımı ve sipariş kayıtları tutarlı</v>
      </c>
      <c r="E10" s="6" t="str">
        <f aca="false">IFERROR(INDEX(Madde_Listesi!$E:$E,MATCH(B10,Madde_Listesi!$B:$B,0)),"")</f>
        <v>Major</v>
      </c>
      <c r="F10" s="21" t="s">
        <v>234</v>
      </c>
      <c r="G10" s="21" t="s">
        <v>235</v>
      </c>
      <c r="H10" s="22" t="n">
        <v>46099</v>
      </c>
      <c r="I10" s="23" t="n">
        <v>46094</v>
      </c>
      <c r="J10" s="17" t="str">
        <f aca="false">IF(A10="","",IF(I10&lt;&gt;"",IF(I10&lt;=H10,"Kapandı","Geç kapandı"),IF(H10&lt;Ayarlar!$B$3,"Gecikmiş","Açık")))</f>
        <v>Kapandı</v>
      </c>
      <c r="K10" s="9" t="n">
        <f aca="false">IF(A10="","",IF(I10&lt;&gt;"",MAX(0,I10-H10),MAX(0,Ayarlar!$B$3-H10)))</f>
        <v>0</v>
      </c>
    </row>
    <row r="11" customFormat="false" ht="15" hidden="false" customHeight="false" outlineLevel="0" collapsed="false">
      <c r="A11" s="21" t="s">
        <v>132</v>
      </c>
      <c r="B11" s="21" t="s">
        <v>214</v>
      </c>
      <c r="C11" s="6" t="str">
        <f aca="false">IFERROR(INDEX(Denetimler!$C:$C,MATCH(A11,Denetimler!$A:$A,0)),"")</f>
        <v>Mağaza C</v>
      </c>
      <c r="D11" s="6" t="str">
        <f aca="false">IFERROR(INDEX(Madde_Listesi!$C:$C,MATCH(B11,Madde_Listesi!$B:$B,0)),"")</f>
        <v>Sıcaklık kayıtları tam ve zamanında tutulmuş</v>
      </c>
      <c r="E11" s="6" t="str">
        <f aca="false">IFERROR(INDEX(Madde_Listesi!$E:$E,MATCH(B11,Madde_Listesi!$B:$B,0)),"")</f>
        <v>Major</v>
      </c>
      <c r="F11" s="21" t="s">
        <v>239</v>
      </c>
      <c r="G11" s="21" t="s">
        <v>237</v>
      </c>
      <c r="H11" s="22" t="n">
        <v>46090</v>
      </c>
      <c r="I11" s="23" t="n">
        <v>46094</v>
      </c>
      <c r="J11" s="17" t="str">
        <f aca="false">IF(A11="","",IF(I11&lt;&gt;"",IF(I11&lt;=H11,"Kapandı","Geç kapandı"),IF(H11&lt;Ayarlar!$B$3,"Gecikmiş","Açık")))</f>
        <v>Geç kapandı</v>
      </c>
      <c r="K11" s="9" t="n">
        <f aca="false">IF(A11="","",IF(I11&lt;&gt;"",MAX(0,I11-H11),MAX(0,Ayarlar!$B$3-H11)))</f>
        <v>4</v>
      </c>
    </row>
    <row r="12" customFormat="false" ht="15" hidden="false" customHeight="false" outlineLevel="0" collapsed="false">
      <c r="A12" s="21" t="s">
        <v>132</v>
      </c>
      <c r="B12" s="21" t="s">
        <v>223</v>
      </c>
      <c r="C12" s="6" t="str">
        <f aca="false">IFERROR(INDEX(Denetimler!$C:$C,MATCH(A12,Denetimler!$A:$A,0)),"")</f>
        <v>Mağaza C</v>
      </c>
      <c r="D12" s="6" t="str">
        <f aca="false">IFERROR(INDEX(Madde_Listesi!$C:$C,MATCH(B12,Madde_Listesi!$B:$B,0)),"")</f>
        <v>Ürünlerin son kullanma tarihleri geçerli ve etiketli</v>
      </c>
      <c r="E12" s="6" t="str">
        <f aca="false">IFERROR(INDEX(Madde_Listesi!$E:$E,MATCH(B12,Madde_Listesi!$B:$B,0)),"")</f>
        <v>Kritik</v>
      </c>
      <c r="F12" s="21" t="s">
        <v>241</v>
      </c>
      <c r="G12" s="21" t="s">
        <v>235</v>
      </c>
      <c r="H12" s="22" t="n">
        <v>46090</v>
      </c>
      <c r="I12" s="23" t="n">
        <v>46085</v>
      </c>
      <c r="J12" s="17" t="str">
        <f aca="false">IF(A12="","",IF(I12&lt;&gt;"",IF(I12&lt;=H12,"Kapandı","Geç kapandı"),IF(H12&lt;Ayarlar!$B$3,"Gecikmiş","Açık")))</f>
        <v>Kapandı</v>
      </c>
      <c r="K12" s="9" t="n">
        <f aca="false">IF(A12="","",IF(I12&lt;&gt;"",MAX(0,I12-H12),MAX(0,Ayarlar!$B$3-H12)))</f>
        <v>0</v>
      </c>
    </row>
    <row r="13" customFormat="false" ht="15" hidden="false" customHeight="false" outlineLevel="0" collapsed="false">
      <c r="A13" s="21" t="s">
        <v>132</v>
      </c>
      <c r="B13" s="21" t="s">
        <v>210</v>
      </c>
      <c r="C13" s="6" t="str">
        <f aca="false">IFERROR(INDEX(Denetimler!$C:$C,MATCH(A13,Denetimler!$A:$A,0)),"")</f>
        <v>Mağaza C</v>
      </c>
      <c r="D13" s="6" t="str">
        <f aca="false">IFERROR(INDEX(Madde_Listesi!$C:$C,MATCH(B13,Madde_Listesi!$B:$B,0)),"")</f>
        <v>Kimyasallar etiketli ve gıdadan ayrı saklanıyor</v>
      </c>
      <c r="E13" s="6" t="str">
        <f aca="false">IFERROR(INDEX(Madde_Listesi!$E:$E,MATCH(B13,Madde_Listesi!$B:$B,0)),"")</f>
        <v>Major</v>
      </c>
      <c r="F13" s="21" t="s">
        <v>238</v>
      </c>
      <c r="G13" s="21" t="s">
        <v>235</v>
      </c>
      <c r="H13" s="22" t="n">
        <v>46090</v>
      </c>
      <c r="I13" s="23" t="n">
        <v>46090</v>
      </c>
      <c r="J13" s="17" t="str">
        <f aca="false">IF(A13="","",IF(I13&lt;&gt;"",IF(I13&lt;=H13,"Kapandı","Geç kapandı"),IF(H13&lt;Ayarlar!$B$3,"Gecikmiş","Açık")))</f>
        <v>Kapandı</v>
      </c>
      <c r="K13" s="9" t="n">
        <f aca="false">IF(A13="","",IF(I13&lt;&gt;"",MAX(0,I13-H13),MAX(0,Ayarlar!$B$3-H13)))</f>
        <v>0</v>
      </c>
    </row>
    <row r="14" customFormat="false" ht="15" hidden="false" customHeight="false" outlineLevel="0" collapsed="false">
      <c r="A14" s="21" t="s">
        <v>129</v>
      </c>
      <c r="B14" s="21" t="s">
        <v>205</v>
      </c>
      <c r="C14" s="6" t="str">
        <f aca="false">IFERROR(INDEX(Denetimler!$C:$C,MATCH(A14,Denetimler!$A:$A,0)),"")</f>
        <v>Mağaza D</v>
      </c>
      <c r="D14" s="6" t="str">
        <f aca="false">IFERROR(INDEX(Madde_Listesi!$C:$C,MATCH(B14,Madde_Listesi!$B:$B,0)),"")</f>
        <v>Stok sayımı ve sipariş kayıtları tutarlı</v>
      </c>
      <c r="E14" s="6" t="str">
        <f aca="false">IFERROR(INDEX(Madde_Listesi!$E:$E,MATCH(B14,Madde_Listesi!$B:$B,0)),"")</f>
        <v>Major</v>
      </c>
      <c r="F14" s="21" t="s">
        <v>234</v>
      </c>
      <c r="G14" s="21" t="s">
        <v>237</v>
      </c>
      <c r="H14" s="22" t="n">
        <v>46087</v>
      </c>
      <c r="I14" s="23" t="n">
        <v>46091</v>
      </c>
      <c r="J14" s="17" t="str">
        <f aca="false">IF(A14="","",IF(I14&lt;&gt;"",IF(I14&lt;=H14,"Kapandı","Geç kapandı"),IF(H14&lt;Ayarlar!$B$3,"Gecikmiş","Açık")))</f>
        <v>Geç kapandı</v>
      </c>
      <c r="K14" s="9" t="n">
        <f aca="false">IF(A14="","",IF(I14&lt;&gt;"",MAX(0,I14-H14),MAX(0,Ayarlar!$B$3-H14)))</f>
        <v>4</v>
      </c>
    </row>
    <row r="15" customFormat="false" ht="15" hidden="false" customHeight="false" outlineLevel="0" collapsed="false">
      <c r="A15" s="21" t="s">
        <v>129</v>
      </c>
      <c r="B15" s="21" t="s">
        <v>205</v>
      </c>
      <c r="C15" s="6" t="str">
        <f aca="false">IFERROR(INDEX(Denetimler!$C:$C,MATCH(A15,Denetimler!$A:$A,0)),"")</f>
        <v>Mağaza D</v>
      </c>
      <c r="D15" s="6" t="str">
        <f aca="false">IFERROR(INDEX(Madde_Listesi!$C:$C,MATCH(B15,Madde_Listesi!$B:$B,0)),"")</f>
        <v>Stok sayımı ve sipariş kayıtları tutarlı</v>
      </c>
      <c r="E15" s="6" t="str">
        <f aca="false">IFERROR(INDEX(Madde_Listesi!$E:$E,MATCH(B15,Madde_Listesi!$B:$B,0)),"")</f>
        <v>Major</v>
      </c>
      <c r="F15" s="21" t="s">
        <v>234</v>
      </c>
      <c r="G15" s="21" t="s">
        <v>240</v>
      </c>
      <c r="H15" s="22" t="n">
        <v>46087</v>
      </c>
      <c r="I15" s="23"/>
      <c r="J15" s="17" t="str">
        <f aca="false">IF(A15="","",IF(I15&lt;&gt;"",IF(I15&lt;=H15,"Kapandı","Geç kapandı"),IF(H15&lt;Ayarlar!$B$3,"Gecikmiş","Açık")))</f>
        <v>Gecikmiş</v>
      </c>
      <c r="K15" s="9" t="n">
        <f aca="false">IF(A15="","",IF(I15&lt;&gt;"",MAX(0,I15-H15),MAX(0,Ayarlar!$B$3-H15)))</f>
        <v>192</v>
      </c>
    </row>
    <row r="16" customFormat="false" ht="15" hidden="false" customHeight="false" outlineLevel="0" collapsed="false">
      <c r="A16" s="21" t="s">
        <v>129</v>
      </c>
      <c r="B16" s="21" t="s">
        <v>205</v>
      </c>
      <c r="C16" s="6" t="str">
        <f aca="false">IFERROR(INDEX(Denetimler!$C:$C,MATCH(A16,Denetimler!$A:$A,0)),"")</f>
        <v>Mağaza D</v>
      </c>
      <c r="D16" s="6" t="str">
        <f aca="false">IFERROR(INDEX(Madde_Listesi!$C:$C,MATCH(B16,Madde_Listesi!$B:$B,0)),"")</f>
        <v>Stok sayımı ve sipariş kayıtları tutarlı</v>
      </c>
      <c r="E16" s="6" t="str">
        <f aca="false">IFERROR(INDEX(Madde_Listesi!$E:$E,MATCH(B16,Madde_Listesi!$B:$B,0)),"")</f>
        <v>Major</v>
      </c>
      <c r="F16" s="21" t="s">
        <v>234</v>
      </c>
      <c r="G16" s="21" t="s">
        <v>237</v>
      </c>
      <c r="H16" s="22" t="n">
        <v>46087</v>
      </c>
      <c r="I16" s="23"/>
      <c r="J16" s="17" t="str">
        <f aca="false">IF(A16="","",IF(I16&lt;&gt;"",IF(I16&lt;=H16,"Kapandı","Geç kapandı"),IF(H16&lt;Ayarlar!$B$3,"Gecikmiş","Açık")))</f>
        <v>Gecikmiş</v>
      </c>
      <c r="K16" s="9" t="n">
        <f aca="false">IF(A16="","",IF(I16&lt;&gt;"",MAX(0,I16-H16),MAX(0,Ayarlar!$B$3-H16)))</f>
        <v>192</v>
      </c>
    </row>
    <row r="17" customFormat="false" ht="15" hidden="false" customHeight="false" outlineLevel="0" collapsed="false">
      <c r="A17" s="21" t="s">
        <v>117</v>
      </c>
      <c r="B17" s="21" t="s">
        <v>210</v>
      </c>
      <c r="C17" s="6" t="str">
        <f aca="false">IFERROR(INDEX(Denetimler!$C:$C,MATCH(A17,Denetimler!$A:$A,0)),"")</f>
        <v>Mağaza D</v>
      </c>
      <c r="D17" s="6" t="str">
        <f aca="false">IFERROR(INDEX(Madde_Listesi!$C:$C,MATCH(B17,Madde_Listesi!$B:$B,0)),"")</f>
        <v>Kimyasallar etiketli ve gıdadan ayrı saklanıyor</v>
      </c>
      <c r="E17" s="6" t="str">
        <f aca="false">IFERROR(INDEX(Madde_Listesi!$E:$E,MATCH(B17,Madde_Listesi!$B:$B,0)),"")</f>
        <v>Major</v>
      </c>
      <c r="F17" s="21" t="s">
        <v>238</v>
      </c>
      <c r="G17" s="21" t="s">
        <v>237</v>
      </c>
      <c r="H17" s="22" t="n">
        <v>46066</v>
      </c>
      <c r="I17" s="23"/>
      <c r="J17" s="17" t="str">
        <f aca="false">IF(A17="","",IF(I17&lt;&gt;"",IF(I17&lt;=H17,"Kapandı","Geç kapandı"),IF(H17&lt;Ayarlar!$B$3,"Gecikmiş","Açık")))</f>
        <v>Gecikmiş</v>
      </c>
      <c r="K17" s="9" t="n">
        <f aca="false">IF(A17="","",IF(I17&lt;&gt;"",MAX(0,I17-H17),MAX(0,Ayarlar!$B$3-H17)))</f>
        <v>213</v>
      </c>
    </row>
    <row r="18" customFormat="false" ht="15" hidden="false" customHeight="false" outlineLevel="0" collapsed="false">
      <c r="A18" s="21" t="s">
        <v>121</v>
      </c>
      <c r="B18" s="21" t="s">
        <v>207</v>
      </c>
      <c r="C18" s="6" t="str">
        <f aca="false">IFERROR(INDEX(Denetimler!$C:$C,MATCH(A18,Denetimler!$A:$A,0)),"")</f>
        <v>Mağaza E</v>
      </c>
      <c r="D18" s="6" t="str">
        <f aca="false">IFERROR(INDEX(Madde_Listesi!$C:$C,MATCH(B18,Madde_Listesi!$B:$B,0)),"")</f>
        <v>Vardiya planı yoğunluğa uygun hazırlanmış</v>
      </c>
      <c r="E18" s="6" t="str">
        <f aca="false">IFERROR(INDEX(Madde_Listesi!$E:$E,MATCH(B18,Madde_Listesi!$B:$B,0)),"")</f>
        <v>Major</v>
      </c>
      <c r="F18" s="21" t="s">
        <v>236</v>
      </c>
      <c r="G18" s="21" t="s">
        <v>237</v>
      </c>
      <c r="H18" s="22" t="n">
        <v>46072</v>
      </c>
      <c r="I18" s="23" t="n">
        <v>46072</v>
      </c>
      <c r="J18" s="17" t="str">
        <f aca="false">IF(A18="","",IF(I18&lt;&gt;"",IF(I18&lt;=H18,"Kapandı","Geç kapandı"),IF(H18&lt;Ayarlar!$B$3,"Gecikmiş","Açık")))</f>
        <v>Kapandı</v>
      </c>
      <c r="K18" s="9" t="n">
        <f aca="false">IF(A18="","",IF(I18&lt;&gt;"",MAX(0,I18-H18),MAX(0,Ayarlar!$B$3-H18)))</f>
        <v>0</v>
      </c>
    </row>
    <row r="19" customFormat="false" ht="15" hidden="false" customHeight="false" outlineLevel="0" collapsed="false">
      <c r="A19" s="21" t="s">
        <v>134</v>
      </c>
      <c r="B19" s="21" t="s">
        <v>214</v>
      </c>
      <c r="C19" s="6" t="str">
        <f aca="false">IFERROR(INDEX(Denetimler!$C:$C,MATCH(A19,Denetimler!$A:$A,0)),"")</f>
        <v>Mağaza E</v>
      </c>
      <c r="D19" s="6" t="str">
        <f aca="false">IFERROR(INDEX(Madde_Listesi!$C:$C,MATCH(B19,Madde_Listesi!$B:$B,0)),"")</f>
        <v>Sıcaklık kayıtları tam ve zamanında tutulmuş</v>
      </c>
      <c r="E19" s="6" t="str">
        <f aca="false">IFERROR(INDEX(Madde_Listesi!$E:$E,MATCH(B19,Madde_Listesi!$B:$B,0)),"")</f>
        <v>Major</v>
      </c>
      <c r="F19" s="21" t="s">
        <v>239</v>
      </c>
      <c r="G19" s="21" t="s">
        <v>235</v>
      </c>
      <c r="H19" s="22" t="n">
        <v>46094</v>
      </c>
      <c r="I19" s="23"/>
      <c r="J19" s="17" t="str">
        <f aca="false">IF(A19="","",IF(I19&lt;&gt;"",IF(I19&lt;=H19,"Kapandı","Geç kapandı"),IF(H19&lt;Ayarlar!$B$3,"Gecikmiş","Açık")))</f>
        <v>Gecikmiş</v>
      </c>
      <c r="K19" s="9" t="n">
        <f aca="false">IF(A19="","",IF(I19&lt;&gt;"",MAX(0,I19-H19),MAX(0,Ayarlar!$B$3-H19)))</f>
        <v>185</v>
      </c>
    </row>
    <row r="20" customFormat="false" ht="15" hidden="false" customHeight="false" outlineLevel="0" collapsed="false">
      <c r="A20" s="21" t="s">
        <v>134</v>
      </c>
      <c r="B20" s="21" t="s">
        <v>210</v>
      </c>
      <c r="C20" s="6" t="str">
        <f aca="false">IFERROR(INDEX(Denetimler!$C:$C,MATCH(A20,Denetimler!$A:$A,0)),"")</f>
        <v>Mağaza E</v>
      </c>
      <c r="D20" s="6" t="str">
        <f aca="false">IFERROR(INDEX(Madde_Listesi!$C:$C,MATCH(B20,Madde_Listesi!$B:$B,0)),"")</f>
        <v>Kimyasallar etiketli ve gıdadan ayrı saklanıyor</v>
      </c>
      <c r="E20" s="6" t="str">
        <f aca="false">IFERROR(INDEX(Madde_Listesi!$E:$E,MATCH(B20,Madde_Listesi!$B:$B,0)),"")</f>
        <v>Major</v>
      </c>
      <c r="F20" s="21" t="s">
        <v>238</v>
      </c>
      <c r="G20" s="21" t="s">
        <v>237</v>
      </c>
      <c r="H20" s="22" t="n">
        <v>46094</v>
      </c>
      <c r="I20" s="23" t="n">
        <v>46084</v>
      </c>
      <c r="J20" s="17" t="str">
        <f aca="false">IF(A20="","",IF(I20&lt;&gt;"",IF(I20&lt;=H20,"Kapandı","Geç kapandı"),IF(H20&lt;Ayarlar!$B$3,"Gecikmiş","Açık")))</f>
        <v>Kapandı</v>
      </c>
      <c r="K20" s="9" t="n">
        <f aca="false">IF(A20="","",IF(I20&lt;&gt;"",MAX(0,I20-H20),MAX(0,Ayarlar!$B$3-H20)))</f>
        <v>0</v>
      </c>
    </row>
    <row r="21" customFormat="false" ht="15" hidden="false" customHeight="false" outlineLevel="0" collapsed="false">
      <c r="A21" s="21" t="s">
        <v>133</v>
      </c>
      <c r="B21" s="21" t="s">
        <v>205</v>
      </c>
      <c r="C21" s="6" t="str">
        <f aca="false">IFERROR(INDEX(Denetimler!$C:$C,MATCH(A21,Denetimler!$A:$A,0)),"")</f>
        <v>Mağaza F</v>
      </c>
      <c r="D21" s="6" t="str">
        <f aca="false">IFERROR(INDEX(Madde_Listesi!$C:$C,MATCH(B21,Madde_Listesi!$B:$B,0)),"")</f>
        <v>Stok sayımı ve sipariş kayıtları tutarlı</v>
      </c>
      <c r="E21" s="6" t="str">
        <f aca="false">IFERROR(INDEX(Madde_Listesi!$E:$E,MATCH(B21,Madde_Listesi!$B:$B,0)),"")</f>
        <v>Major</v>
      </c>
      <c r="F21" s="21" t="s">
        <v>234</v>
      </c>
      <c r="G21" s="21" t="s">
        <v>240</v>
      </c>
      <c r="H21" s="22" t="n">
        <v>46091</v>
      </c>
      <c r="I21" s="23"/>
      <c r="J21" s="17" t="str">
        <f aca="false">IF(A21="","",IF(I21&lt;&gt;"",IF(I21&lt;=H21,"Kapandı","Geç kapandı"),IF(H21&lt;Ayarlar!$B$3,"Gecikmiş","Açık")))</f>
        <v>Gecikmiş</v>
      </c>
      <c r="K21" s="9" t="n">
        <f aca="false">IF(A21="","",IF(I21&lt;&gt;"",MAX(0,I21-H21),MAX(0,Ayarlar!$B$3-H21)))</f>
        <v>188</v>
      </c>
    </row>
    <row r="22" customFormat="false" ht="15" hidden="false" customHeight="false" outlineLevel="0" collapsed="false">
      <c r="A22" s="21" t="s">
        <v>118</v>
      </c>
      <c r="B22" s="21" t="s">
        <v>226</v>
      </c>
      <c r="C22" s="6" t="str">
        <f aca="false">IFERROR(INDEX(Denetimler!$C:$C,MATCH(A22,Denetimler!$A:$A,0)),"")</f>
        <v>Mağaza F</v>
      </c>
      <c r="D22" s="6" t="str">
        <f aca="false">IFERROR(INDEX(Madde_Listesi!$C:$C,MATCH(B22,Madde_Listesi!$B:$B,0)),"")</f>
        <v>Kasa farkları kayıt altına alınmış ve açıklanmış</v>
      </c>
      <c r="E22" s="6" t="str">
        <f aca="false">IFERROR(INDEX(Madde_Listesi!$E:$E,MATCH(B22,Madde_Listesi!$B:$B,0)),"")</f>
        <v>Kritik</v>
      </c>
      <c r="F22" s="21" t="s">
        <v>242</v>
      </c>
      <c r="G22" s="21" t="s">
        <v>237</v>
      </c>
      <c r="H22" s="22" t="n">
        <v>46066</v>
      </c>
      <c r="I22" s="23" t="n">
        <v>46056</v>
      </c>
      <c r="J22" s="17" t="str">
        <f aca="false">IF(A22="","",IF(I22&lt;&gt;"",IF(I22&lt;=H22,"Kapandı","Geç kapandı"),IF(H22&lt;Ayarlar!$B$3,"Gecikmiş","Açık")))</f>
        <v>Kapandı</v>
      </c>
      <c r="K22" s="9" t="n">
        <f aca="false">IF(A22="","",IF(I22&lt;&gt;"",MAX(0,I22-H22),MAX(0,Ayarlar!$B$3-H22)))</f>
        <v>0</v>
      </c>
    </row>
    <row r="23" customFormat="false" ht="15" hidden="false" customHeight="false" outlineLevel="0" collapsed="false">
      <c r="A23" s="21" t="s">
        <v>118</v>
      </c>
      <c r="B23" s="21" t="s">
        <v>226</v>
      </c>
      <c r="C23" s="6" t="str">
        <f aca="false">IFERROR(INDEX(Denetimler!$C:$C,MATCH(A23,Denetimler!$A:$A,0)),"")</f>
        <v>Mağaza F</v>
      </c>
      <c r="D23" s="6" t="str">
        <f aca="false">IFERROR(INDEX(Madde_Listesi!$C:$C,MATCH(B23,Madde_Listesi!$B:$B,0)),"")</f>
        <v>Kasa farkları kayıt altına alınmış ve açıklanmış</v>
      </c>
      <c r="E23" s="6" t="str">
        <f aca="false">IFERROR(INDEX(Madde_Listesi!$E:$E,MATCH(B23,Madde_Listesi!$B:$B,0)),"")</f>
        <v>Kritik</v>
      </c>
      <c r="F23" s="21" t="s">
        <v>242</v>
      </c>
      <c r="G23" s="21" t="s">
        <v>237</v>
      </c>
      <c r="H23" s="22" t="n">
        <v>46066</v>
      </c>
      <c r="I23" s="23" t="n">
        <v>46061</v>
      </c>
      <c r="J23" s="17" t="str">
        <f aca="false">IF(A23="","",IF(I23&lt;&gt;"",IF(I23&lt;=H23,"Kapandı","Geç kapandı"),IF(H23&lt;Ayarlar!$B$3,"Gecikmiş","Açık")))</f>
        <v>Kapandı</v>
      </c>
      <c r="K23" s="9" t="n">
        <f aca="false">IF(A23="","",IF(I23&lt;&gt;"",MAX(0,I23-H23),MAX(0,Ayarlar!$B$3-H23)))</f>
        <v>0</v>
      </c>
    </row>
    <row r="24" customFormat="false" ht="15" hidden="false" customHeight="false" outlineLevel="0" collapsed="false">
      <c r="A24" s="21" t="s">
        <v>118</v>
      </c>
      <c r="B24" s="21" t="s">
        <v>226</v>
      </c>
      <c r="C24" s="6" t="str">
        <f aca="false">IFERROR(INDEX(Denetimler!$C:$C,MATCH(A24,Denetimler!$A:$A,0)),"")</f>
        <v>Mağaza F</v>
      </c>
      <c r="D24" s="6" t="str">
        <f aca="false">IFERROR(INDEX(Madde_Listesi!$C:$C,MATCH(B24,Madde_Listesi!$B:$B,0)),"")</f>
        <v>Kasa farkları kayıt altına alınmış ve açıklanmış</v>
      </c>
      <c r="E24" s="6" t="str">
        <f aca="false">IFERROR(INDEX(Madde_Listesi!$E:$E,MATCH(B24,Madde_Listesi!$B:$B,0)),"")</f>
        <v>Kritik</v>
      </c>
      <c r="F24" s="21" t="s">
        <v>242</v>
      </c>
      <c r="G24" s="21" t="s">
        <v>237</v>
      </c>
      <c r="H24" s="22" t="n">
        <v>46066</v>
      </c>
      <c r="I24" s="23" t="n">
        <v>46061</v>
      </c>
      <c r="J24" s="17" t="str">
        <f aca="false">IF(A24="","",IF(I24&lt;&gt;"",IF(I24&lt;=H24,"Kapandı","Geç kapandı"),IF(H24&lt;Ayarlar!$B$3,"Gecikmiş","Açık")))</f>
        <v>Kapandı</v>
      </c>
      <c r="K24" s="9" t="n">
        <f aca="false">IF(A24="","",IF(I24&lt;&gt;"",MAX(0,I24-H24),MAX(0,Ayarlar!$B$3-H24)))</f>
        <v>0</v>
      </c>
    </row>
    <row r="25" customFormat="false" ht="15" hidden="false" customHeight="false" outlineLevel="0" collapsed="false">
      <c r="A25" s="21" t="s">
        <v>116</v>
      </c>
      <c r="B25" s="21" t="s">
        <v>210</v>
      </c>
      <c r="C25" s="6" t="str">
        <f aca="false">IFERROR(INDEX(Denetimler!$C:$C,MATCH(A25,Denetimler!$A:$A,0)),"")</f>
        <v>Mağaza F</v>
      </c>
      <c r="D25" s="6" t="str">
        <f aca="false">IFERROR(INDEX(Madde_Listesi!$C:$C,MATCH(B25,Madde_Listesi!$B:$B,0)),"")</f>
        <v>Kimyasallar etiketli ve gıdadan ayrı saklanıyor</v>
      </c>
      <c r="E25" s="6" t="str">
        <f aca="false">IFERROR(INDEX(Madde_Listesi!$E:$E,MATCH(B25,Madde_Listesi!$B:$B,0)),"")</f>
        <v>Major</v>
      </c>
      <c r="F25" s="21" t="s">
        <v>238</v>
      </c>
      <c r="G25" s="21" t="s">
        <v>235</v>
      </c>
      <c r="H25" s="22" t="n">
        <v>46064</v>
      </c>
      <c r="I25" s="23" t="n">
        <v>46059</v>
      </c>
      <c r="J25" s="17" t="str">
        <f aca="false">IF(A25="","",IF(I25&lt;&gt;"",IF(I25&lt;=H25,"Kapandı","Geç kapandı"),IF(H25&lt;Ayarlar!$B$3,"Gecikmiş","Açık")))</f>
        <v>Kapandı</v>
      </c>
      <c r="K25" s="9" t="n">
        <f aca="false">IF(A25="","",IF(I25&lt;&gt;"",MAX(0,I25-H25),MAX(0,Ayarlar!$B$3-H25)))</f>
        <v>0</v>
      </c>
    </row>
    <row r="26" customFormat="false" ht="15" hidden="false" customHeight="false" outlineLevel="0" collapsed="false">
      <c r="A26" s="21" t="s">
        <v>116</v>
      </c>
      <c r="B26" s="21" t="s">
        <v>214</v>
      </c>
      <c r="C26" s="6" t="str">
        <f aca="false">IFERROR(INDEX(Denetimler!$C:$C,MATCH(A26,Denetimler!$A:$A,0)),"")</f>
        <v>Mağaza F</v>
      </c>
      <c r="D26" s="6" t="str">
        <f aca="false">IFERROR(INDEX(Madde_Listesi!$C:$C,MATCH(B26,Madde_Listesi!$B:$B,0)),"")</f>
        <v>Sıcaklık kayıtları tam ve zamanında tutulmuş</v>
      </c>
      <c r="E26" s="6" t="str">
        <f aca="false">IFERROR(INDEX(Madde_Listesi!$E:$E,MATCH(B26,Madde_Listesi!$B:$B,0)),"")</f>
        <v>Major</v>
      </c>
      <c r="F26" s="21" t="s">
        <v>239</v>
      </c>
      <c r="G26" s="21" t="s">
        <v>235</v>
      </c>
      <c r="H26" s="22" t="n">
        <v>46064</v>
      </c>
      <c r="I26" s="23" t="n">
        <v>46064</v>
      </c>
      <c r="J26" s="17" t="str">
        <f aca="false">IF(A26="","",IF(I26&lt;&gt;"",IF(I26&lt;=H26,"Kapandı","Geç kapandı"),IF(H26&lt;Ayarlar!$B$3,"Gecikmiş","Açık")))</f>
        <v>Kapandı</v>
      </c>
      <c r="K26" s="9" t="n">
        <f aca="false">IF(A26="","",IF(I26&lt;&gt;"",MAX(0,I26-H26),MAX(0,Ayarlar!$B$3-H26)))</f>
        <v>0</v>
      </c>
    </row>
    <row r="27" customFormat="false" ht="15" hidden="false" customHeight="false" outlineLevel="0" collapsed="false">
      <c r="A27" s="21" t="s">
        <v>116</v>
      </c>
      <c r="B27" s="21" t="s">
        <v>210</v>
      </c>
      <c r="C27" s="6" t="str">
        <f aca="false">IFERROR(INDEX(Denetimler!$C:$C,MATCH(A27,Denetimler!$A:$A,0)),"")</f>
        <v>Mağaza F</v>
      </c>
      <c r="D27" s="6" t="str">
        <f aca="false">IFERROR(INDEX(Madde_Listesi!$C:$C,MATCH(B27,Madde_Listesi!$B:$B,0)),"")</f>
        <v>Kimyasallar etiketli ve gıdadan ayrı saklanıyor</v>
      </c>
      <c r="E27" s="6" t="str">
        <f aca="false">IFERROR(INDEX(Madde_Listesi!$E:$E,MATCH(B27,Madde_Listesi!$B:$B,0)),"")</f>
        <v>Major</v>
      </c>
      <c r="F27" s="21" t="s">
        <v>238</v>
      </c>
      <c r="G27" s="21" t="s">
        <v>237</v>
      </c>
      <c r="H27" s="22" t="n">
        <v>46064</v>
      </c>
      <c r="I27" s="23" t="n">
        <v>46068</v>
      </c>
      <c r="J27" s="17" t="str">
        <f aca="false">IF(A27="","",IF(I27&lt;&gt;"",IF(I27&lt;=H27,"Kapandı","Geç kapandı"),IF(H27&lt;Ayarlar!$B$3,"Gecikmiş","Açık")))</f>
        <v>Geç kapandı</v>
      </c>
      <c r="K27" s="9" t="n">
        <f aca="false">IF(A27="","",IF(I27&lt;&gt;"",MAX(0,I27-H27),MAX(0,Ayarlar!$B$3-H27)))</f>
        <v>4</v>
      </c>
    </row>
    <row r="28" customFormat="false" ht="15" hidden="false" customHeight="false" outlineLevel="0" collapsed="false">
      <c r="A28" s="21" t="s">
        <v>116</v>
      </c>
      <c r="B28" s="21" t="s">
        <v>223</v>
      </c>
      <c r="C28" s="6" t="str">
        <f aca="false">IFERROR(INDEX(Denetimler!$C:$C,MATCH(A28,Denetimler!$A:$A,0)),"")</f>
        <v>Mağaza F</v>
      </c>
      <c r="D28" s="6" t="str">
        <f aca="false">IFERROR(INDEX(Madde_Listesi!$C:$C,MATCH(B28,Madde_Listesi!$B:$B,0)),"")</f>
        <v>Ürünlerin son kullanma tarihleri geçerli ve etiketli</v>
      </c>
      <c r="E28" s="6" t="str">
        <f aca="false">IFERROR(INDEX(Madde_Listesi!$E:$E,MATCH(B28,Madde_Listesi!$B:$B,0)),"")</f>
        <v>Kritik</v>
      </c>
      <c r="F28" s="21" t="s">
        <v>241</v>
      </c>
      <c r="G28" s="21" t="s">
        <v>235</v>
      </c>
      <c r="H28" s="22" t="n">
        <v>46064</v>
      </c>
      <c r="I28" s="23" t="n">
        <v>46054</v>
      </c>
      <c r="J28" s="17" t="str">
        <f aca="false">IF(A28="","",IF(I28&lt;&gt;"",IF(I28&lt;=H28,"Kapandı","Geç kapandı"),IF(H28&lt;Ayarlar!$B$3,"Gecikmiş","Açık")))</f>
        <v>Kapandı</v>
      </c>
      <c r="K28" s="9" t="n">
        <f aca="false">IF(A28="","",IF(I28&lt;&gt;"",MAX(0,I28-H28),MAX(0,Ayarlar!$B$3-H28)))</f>
        <v>0</v>
      </c>
    </row>
    <row r="29" customFormat="false" ht="15" hidden="false" customHeight="false" outlineLevel="0" collapsed="false">
      <c r="A29" s="21" t="s">
        <v>126</v>
      </c>
      <c r="B29" s="21" t="s">
        <v>207</v>
      </c>
      <c r="C29" s="6" t="str">
        <f aca="false">IFERROR(INDEX(Denetimler!$C:$C,MATCH(A29,Denetimler!$A:$A,0)),"")</f>
        <v>Mağaza G</v>
      </c>
      <c r="D29" s="6" t="str">
        <f aca="false">IFERROR(INDEX(Madde_Listesi!$C:$C,MATCH(B29,Madde_Listesi!$B:$B,0)),"")</f>
        <v>Vardiya planı yoğunluğa uygun hazırlanmış</v>
      </c>
      <c r="E29" s="6" t="str">
        <f aca="false">IFERROR(INDEX(Madde_Listesi!$E:$E,MATCH(B29,Madde_Listesi!$B:$B,0)),"")</f>
        <v>Major</v>
      </c>
      <c r="F29" s="21" t="s">
        <v>236</v>
      </c>
      <c r="G29" s="21" t="s">
        <v>235</v>
      </c>
      <c r="H29" s="22" t="n">
        <v>46080</v>
      </c>
      <c r="I29" s="23" t="n">
        <v>46080</v>
      </c>
      <c r="J29" s="17" t="str">
        <f aca="false">IF(A29="","",IF(I29&lt;&gt;"",IF(I29&lt;=H29,"Kapandı","Geç kapandı"),IF(H29&lt;Ayarlar!$B$3,"Gecikmiş","Açık")))</f>
        <v>Kapandı</v>
      </c>
      <c r="K29" s="9" t="n">
        <f aca="false">IF(A29="","",IF(I29&lt;&gt;"",MAX(0,I29-H29),MAX(0,Ayarlar!$B$3-H29)))</f>
        <v>0</v>
      </c>
    </row>
    <row r="30" customFormat="false" ht="15" hidden="false" customHeight="false" outlineLevel="0" collapsed="false">
      <c r="A30" s="21" t="s">
        <v>126</v>
      </c>
      <c r="B30" s="21" t="s">
        <v>207</v>
      </c>
      <c r="C30" s="6" t="str">
        <f aca="false">IFERROR(INDEX(Denetimler!$C:$C,MATCH(A30,Denetimler!$A:$A,0)),"")</f>
        <v>Mağaza G</v>
      </c>
      <c r="D30" s="6" t="str">
        <f aca="false">IFERROR(INDEX(Madde_Listesi!$C:$C,MATCH(B30,Madde_Listesi!$B:$B,0)),"")</f>
        <v>Vardiya planı yoğunluğa uygun hazırlanmış</v>
      </c>
      <c r="E30" s="6" t="str">
        <f aca="false">IFERROR(INDEX(Madde_Listesi!$E:$E,MATCH(B30,Madde_Listesi!$B:$B,0)),"")</f>
        <v>Major</v>
      </c>
      <c r="F30" s="21" t="s">
        <v>236</v>
      </c>
      <c r="G30" s="21" t="s">
        <v>240</v>
      </c>
      <c r="H30" s="22" t="n">
        <v>46080</v>
      </c>
      <c r="I30" s="23"/>
      <c r="J30" s="17" t="str">
        <f aca="false">IF(A30="","",IF(I30&lt;&gt;"",IF(I30&lt;=H30,"Kapandı","Geç kapandı"),IF(H30&lt;Ayarlar!$B$3,"Gecikmiş","Açık")))</f>
        <v>Gecikmiş</v>
      </c>
      <c r="K30" s="9" t="n">
        <f aca="false">IF(A30="","",IF(I30&lt;&gt;"",MAX(0,I30-H30),MAX(0,Ayarlar!$B$3-H30)))</f>
        <v>199</v>
      </c>
    </row>
    <row r="31" customFormat="false" ht="15" hidden="false" customHeight="false" outlineLevel="0" collapsed="false">
      <c r="A31" s="21" t="s">
        <v>126</v>
      </c>
      <c r="B31" s="21" t="s">
        <v>207</v>
      </c>
      <c r="C31" s="6" t="str">
        <f aca="false">IFERROR(INDEX(Denetimler!$C:$C,MATCH(A31,Denetimler!$A:$A,0)),"")</f>
        <v>Mağaza G</v>
      </c>
      <c r="D31" s="6" t="str">
        <f aca="false">IFERROR(INDEX(Madde_Listesi!$C:$C,MATCH(B31,Madde_Listesi!$B:$B,0)),"")</f>
        <v>Vardiya planı yoğunluğa uygun hazırlanmış</v>
      </c>
      <c r="E31" s="6" t="str">
        <f aca="false">IFERROR(INDEX(Madde_Listesi!$E:$E,MATCH(B31,Madde_Listesi!$B:$B,0)),"")</f>
        <v>Major</v>
      </c>
      <c r="F31" s="21" t="s">
        <v>236</v>
      </c>
      <c r="G31" s="21" t="s">
        <v>235</v>
      </c>
      <c r="H31" s="22" t="n">
        <v>46080</v>
      </c>
      <c r="I31" s="23" t="n">
        <v>46084</v>
      </c>
      <c r="J31" s="17" t="str">
        <f aca="false">IF(A31="","",IF(I31&lt;&gt;"",IF(I31&lt;=H31,"Kapandı","Geç kapandı"),IF(H31&lt;Ayarlar!$B$3,"Gecikmiş","Açık")))</f>
        <v>Geç kapandı</v>
      </c>
      <c r="K31" s="9" t="n">
        <f aca="false">IF(A31="","",IF(I31&lt;&gt;"",MAX(0,I31-H31),MAX(0,Ayarlar!$B$3-H31)))</f>
        <v>4</v>
      </c>
    </row>
  </sheetData>
  <conditionalFormatting sqref="J2:J200">
    <cfRule type="expression" priority="2" aboveAverage="0" equalAverage="0" bottom="0" percent="0" rank="0" text="" dxfId="0">
      <formula>J2="Gecikmiş"</formula>
    </cfRule>
    <cfRule type="expression" priority="3" aboveAverage="0" equalAverage="0" bottom="0" percent="0" rank="0" text="" dxfId="2">
      <formula>J2="Geç kapandı"</formula>
    </cfRule>
    <cfRule type="expression" priority="4" aboveAverage="0" equalAverage="0" bottom="0" percent="0" rank="0" text="" dxfId="1">
      <formula>J2="Kapandı"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1"/>
  </cols>
  <sheetData>
    <row r="1" customFormat="false" ht="16.15" hidden="false" customHeight="false" outlineLevel="0" collapsed="false">
      <c r="A1" s="1" t="s">
        <v>243</v>
      </c>
    </row>
    <row r="3" customFormat="false" ht="15" hidden="false" customHeight="false" outlineLevel="0" collapsed="false">
      <c r="A3" s="4" t="s">
        <v>244</v>
      </c>
      <c r="B3" s="26" t="n">
        <v>46279</v>
      </c>
      <c r="C3" s="16" t="s">
        <v>245</v>
      </c>
    </row>
    <row r="5" customFormat="false" ht="30" hidden="false" customHeight="true" outlineLevel="0" collapsed="false">
      <c r="A5" s="5" t="s">
        <v>204</v>
      </c>
      <c r="B5" s="5" t="s">
        <v>246</v>
      </c>
    </row>
    <row r="6" customFormat="false" ht="15" hidden="false" customHeight="false" outlineLevel="0" collapsed="false">
      <c r="A6" s="21" t="s">
        <v>107</v>
      </c>
      <c r="B6" s="21" t="n">
        <v>2</v>
      </c>
    </row>
    <row r="7" customFormat="false" ht="15" hidden="false" customHeight="false" outlineLevel="0" collapsed="false">
      <c r="A7" s="21" t="s">
        <v>108</v>
      </c>
      <c r="B7" s="21" t="n">
        <v>1.5</v>
      </c>
    </row>
    <row r="8" customFormat="false" ht="15" hidden="false" customHeight="false" outlineLevel="0" collapsed="false">
      <c r="A8" s="21" t="s">
        <v>109</v>
      </c>
      <c r="B8" s="21" t="n">
        <v>1</v>
      </c>
    </row>
    <row r="10" customFormat="false" ht="30" hidden="false" customHeight="true" outlineLevel="0" collapsed="false">
      <c r="A10" s="5" t="s">
        <v>79</v>
      </c>
      <c r="B10" s="5" t="s">
        <v>202</v>
      </c>
      <c r="C10" s="5" t="s">
        <v>111</v>
      </c>
      <c r="D10" s="5" t="s">
        <v>247</v>
      </c>
    </row>
    <row r="11" customFormat="false" ht="15" hidden="false" customHeight="false" outlineLevel="0" collapsed="false">
      <c r="A11" s="21" t="s">
        <v>88</v>
      </c>
      <c r="B11" s="21" t="s">
        <v>248</v>
      </c>
      <c r="C11" s="21" t="n">
        <v>40</v>
      </c>
      <c r="D11" s="21" t="n">
        <v>90</v>
      </c>
    </row>
    <row r="12" customFormat="false" ht="15" hidden="false" customHeight="false" outlineLevel="0" collapsed="false">
      <c r="A12" s="21" t="s">
        <v>92</v>
      </c>
      <c r="B12" s="21" t="s">
        <v>249</v>
      </c>
      <c r="C12" s="21" t="n">
        <v>30</v>
      </c>
      <c r="D12" s="21" t="n">
        <v>85</v>
      </c>
    </row>
    <row r="13" customFormat="false" ht="15" hidden="false" customHeight="false" outlineLevel="0" collapsed="false">
      <c r="A13" s="21" t="s">
        <v>94</v>
      </c>
      <c r="B13" s="21" t="s">
        <v>250</v>
      </c>
      <c r="C13" s="21" t="n">
        <v>91</v>
      </c>
      <c r="D13" s="21" t="n">
        <v>90</v>
      </c>
    </row>
    <row r="15" customFormat="false" ht="15" hidden="false" customHeight="false" outlineLevel="0" collapsed="false">
      <c r="A15" s="4" t="s">
        <v>251</v>
      </c>
      <c r="B15" s="24" t="n">
        <v>30</v>
      </c>
    </row>
    <row r="17" customFormat="false" ht="15" hidden="false" customHeight="false" outlineLevel="0" collapsed="false">
      <c r="A17" s="2" t="s">
        <v>252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28"/>
  </cols>
  <sheetData>
    <row r="1" customFormat="false" ht="30" hidden="false" customHeight="true" outlineLevel="0" collapsed="false">
      <c r="A1" s="5" t="s">
        <v>16</v>
      </c>
      <c r="B1" s="5" t="s">
        <v>253</v>
      </c>
      <c r="C1" s="5" t="s">
        <v>254</v>
      </c>
    </row>
    <row r="2" customFormat="false" ht="15" hidden="false" customHeight="false" outlineLevel="0" collapsed="false">
      <c r="A2" s="21" t="s">
        <v>87</v>
      </c>
      <c r="B2" s="21" t="s">
        <v>255</v>
      </c>
      <c r="C2" s="21" t="s">
        <v>94</v>
      </c>
    </row>
    <row r="3" customFormat="false" ht="15" hidden="false" customHeight="false" outlineLevel="0" collapsed="false">
      <c r="A3" s="21" t="s">
        <v>89</v>
      </c>
      <c r="B3" s="21" t="s">
        <v>255</v>
      </c>
      <c r="C3" s="21" t="s">
        <v>88</v>
      </c>
    </row>
    <row r="4" customFormat="false" ht="15" hidden="false" customHeight="false" outlineLevel="0" collapsed="false">
      <c r="A4" s="21" t="s">
        <v>93</v>
      </c>
      <c r="B4" s="21" t="s">
        <v>255</v>
      </c>
      <c r="C4" s="21" t="s">
        <v>92</v>
      </c>
    </row>
    <row r="5" customFormat="false" ht="15" hidden="false" customHeight="false" outlineLevel="0" collapsed="false">
      <c r="A5" s="21" t="s">
        <v>95</v>
      </c>
      <c r="B5" s="21" t="s">
        <v>256</v>
      </c>
      <c r="C5" s="21" t="s">
        <v>94</v>
      </c>
    </row>
    <row r="6" customFormat="false" ht="15" hidden="false" customHeight="false" outlineLevel="0" collapsed="false">
      <c r="A6" s="21" t="s">
        <v>98</v>
      </c>
      <c r="B6" s="21" t="s">
        <v>256</v>
      </c>
      <c r="C6" s="21" t="s">
        <v>88</v>
      </c>
    </row>
    <row r="7" customFormat="false" ht="15" hidden="false" customHeight="false" outlineLevel="0" collapsed="false">
      <c r="A7" s="21" t="s">
        <v>97</v>
      </c>
      <c r="B7" s="21" t="s">
        <v>256</v>
      </c>
      <c r="C7" s="21" t="s">
        <v>92</v>
      </c>
    </row>
    <row r="8" customFormat="false" ht="15" hidden="false" customHeight="false" outlineLevel="0" collapsed="false">
      <c r="A8" s="21" t="s">
        <v>96</v>
      </c>
      <c r="B8" s="21" t="s">
        <v>257</v>
      </c>
      <c r="C8" s="21" t="s">
        <v>88</v>
      </c>
    </row>
    <row r="9" customFormat="false" ht="15" hidden="false" customHeight="false" outlineLevel="0" collapsed="false">
      <c r="A9" s="21" t="s">
        <v>99</v>
      </c>
      <c r="B9" s="21" t="s">
        <v>257</v>
      </c>
      <c r="C9" s="21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58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32"/>
  </cols>
  <sheetData>
    <row r="1" customFormat="false" ht="30" hidden="false" customHeight="true" outlineLevel="0" collapsed="false">
      <c r="A1" s="5" t="s">
        <v>79</v>
      </c>
      <c r="B1" s="5" t="s">
        <v>44</v>
      </c>
      <c r="C1" s="5" t="s">
        <v>45</v>
      </c>
      <c r="D1" s="5" t="s">
        <v>203</v>
      </c>
      <c r="E1" s="5" t="s">
        <v>204</v>
      </c>
      <c r="F1" s="5" t="s">
        <v>51</v>
      </c>
    </row>
    <row r="2" customFormat="false" ht="15" hidden="false" customHeight="false" outlineLevel="0" collapsed="false">
      <c r="A2" s="21" t="s">
        <v>94</v>
      </c>
      <c r="B2" s="21" t="s">
        <v>222</v>
      </c>
      <c r="C2" s="21" t="s">
        <v>258</v>
      </c>
      <c r="D2" s="21" t="s">
        <v>259</v>
      </c>
      <c r="E2" s="21" t="s">
        <v>108</v>
      </c>
      <c r="F2" s="21" t="s">
        <v>64</v>
      </c>
    </row>
    <row r="3" customFormat="false" ht="15" hidden="false" customHeight="false" outlineLevel="0" collapsed="false">
      <c r="A3" s="21" t="s">
        <v>94</v>
      </c>
      <c r="B3" s="21" t="s">
        <v>213</v>
      </c>
      <c r="C3" s="21" t="s">
        <v>260</v>
      </c>
      <c r="D3" s="21" t="s">
        <v>261</v>
      </c>
      <c r="E3" s="21" t="s">
        <v>107</v>
      </c>
      <c r="F3" s="21" t="s">
        <v>67</v>
      </c>
    </row>
    <row r="4" customFormat="false" ht="15" hidden="false" customHeight="false" outlineLevel="0" collapsed="false">
      <c r="A4" s="21" t="s">
        <v>94</v>
      </c>
      <c r="B4" s="21" t="s">
        <v>214</v>
      </c>
      <c r="C4" s="21" t="s">
        <v>262</v>
      </c>
      <c r="D4" s="21" t="s">
        <v>261</v>
      </c>
      <c r="E4" s="21" t="s">
        <v>108</v>
      </c>
      <c r="F4" s="21" t="s">
        <v>67</v>
      </c>
    </row>
    <row r="5" customFormat="false" ht="15" hidden="false" customHeight="false" outlineLevel="0" collapsed="false">
      <c r="A5" s="21" t="s">
        <v>94</v>
      </c>
      <c r="B5" s="21" t="s">
        <v>211</v>
      </c>
      <c r="C5" s="21" t="s">
        <v>263</v>
      </c>
      <c r="D5" s="21" t="s">
        <v>264</v>
      </c>
      <c r="E5" s="21" t="s">
        <v>108</v>
      </c>
      <c r="F5" s="21" t="s">
        <v>61</v>
      </c>
    </row>
    <row r="6" customFormat="false" ht="15" hidden="false" customHeight="false" outlineLevel="0" collapsed="false">
      <c r="A6" s="21" t="s">
        <v>94</v>
      </c>
      <c r="B6" s="21" t="s">
        <v>219</v>
      </c>
      <c r="C6" s="21" t="s">
        <v>265</v>
      </c>
      <c r="D6" s="21" t="s">
        <v>264</v>
      </c>
      <c r="E6" s="21" t="s">
        <v>109</v>
      </c>
      <c r="F6" s="21" t="s">
        <v>61</v>
      </c>
    </row>
    <row r="7" customFormat="false" ht="15" hidden="false" customHeight="false" outlineLevel="0" collapsed="false">
      <c r="A7" s="21" t="s">
        <v>94</v>
      </c>
      <c r="B7" s="21" t="s">
        <v>223</v>
      </c>
      <c r="C7" s="21" t="s">
        <v>266</v>
      </c>
      <c r="D7" s="21" t="s">
        <v>267</v>
      </c>
      <c r="E7" s="21" t="s">
        <v>107</v>
      </c>
      <c r="F7" s="21" t="s">
        <v>72</v>
      </c>
    </row>
    <row r="8" customFormat="false" ht="15" hidden="false" customHeight="false" outlineLevel="0" collapsed="false">
      <c r="A8" s="21" t="s">
        <v>94</v>
      </c>
      <c r="B8" s="21" t="s">
        <v>212</v>
      </c>
      <c r="C8" s="21" t="s">
        <v>268</v>
      </c>
      <c r="D8" s="21" t="s">
        <v>267</v>
      </c>
      <c r="E8" s="21" t="s">
        <v>108</v>
      </c>
      <c r="F8" s="21" t="s">
        <v>69</v>
      </c>
    </row>
    <row r="9" customFormat="false" ht="15" hidden="false" customHeight="false" outlineLevel="0" collapsed="false">
      <c r="A9" s="21" t="s">
        <v>94</v>
      </c>
      <c r="B9" s="21" t="s">
        <v>210</v>
      </c>
      <c r="C9" s="21" t="s">
        <v>269</v>
      </c>
      <c r="D9" s="21" t="s">
        <v>267</v>
      </c>
      <c r="E9" s="21" t="s">
        <v>108</v>
      </c>
      <c r="F9" s="21" t="s">
        <v>63</v>
      </c>
    </row>
    <row r="10" customFormat="false" ht="15" hidden="false" customHeight="false" outlineLevel="0" collapsed="false">
      <c r="A10" s="21" t="s">
        <v>94</v>
      </c>
      <c r="B10" s="21" t="s">
        <v>227</v>
      </c>
      <c r="C10" s="21" t="s">
        <v>270</v>
      </c>
      <c r="D10" s="21" t="s">
        <v>267</v>
      </c>
      <c r="E10" s="21" t="s">
        <v>109</v>
      </c>
      <c r="F10" s="21" t="s">
        <v>69</v>
      </c>
    </row>
    <row r="11" customFormat="false" ht="15" hidden="false" customHeight="false" outlineLevel="0" collapsed="false">
      <c r="A11" s="21" t="s">
        <v>88</v>
      </c>
      <c r="B11" s="21" t="s">
        <v>207</v>
      </c>
      <c r="C11" s="21" t="s">
        <v>271</v>
      </c>
      <c r="D11" s="21" t="s">
        <v>272</v>
      </c>
      <c r="E11" s="21" t="s">
        <v>108</v>
      </c>
      <c r="F11" s="21" t="s">
        <v>70</v>
      </c>
    </row>
    <row r="12" customFormat="false" ht="15" hidden="false" customHeight="false" outlineLevel="0" collapsed="false">
      <c r="A12" s="21" t="s">
        <v>88</v>
      </c>
      <c r="B12" s="21" t="s">
        <v>216</v>
      </c>
      <c r="C12" s="21" t="s">
        <v>273</v>
      </c>
      <c r="D12" s="21" t="s">
        <v>272</v>
      </c>
      <c r="E12" s="21" t="s">
        <v>107</v>
      </c>
      <c r="F12" s="21" t="s">
        <v>62</v>
      </c>
    </row>
    <row r="13" customFormat="false" ht="15" hidden="false" customHeight="false" outlineLevel="0" collapsed="false">
      <c r="A13" s="21" t="s">
        <v>88</v>
      </c>
      <c r="B13" s="21" t="s">
        <v>208</v>
      </c>
      <c r="C13" s="21" t="s">
        <v>274</v>
      </c>
      <c r="D13" s="21" t="s">
        <v>275</v>
      </c>
      <c r="E13" s="21" t="s">
        <v>109</v>
      </c>
      <c r="F13" s="21" t="s">
        <v>66</v>
      </c>
    </row>
    <row r="14" customFormat="false" ht="15" hidden="false" customHeight="false" outlineLevel="0" collapsed="false">
      <c r="A14" s="21" t="s">
        <v>88</v>
      </c>
      <c r="B14" s="21" t="s">
        <v>209</v>
      </c>
      <c r="C14" s="21" t="s">
        <v>276</v>
      </c>
      <c r="D14" s="21" t="s">
        <v>275</v>
      </c>
      <c r="E14" s="21" t="s">
        <v>108</v>
      </c>
      <c r="F14" s="21" t="s">
        <v>71</v>
      </c>
    </row>
    <row r="15" customFormat="false" ht="15" hidden="false" customHeight="false" outlineLevel="0" collapsed="false">
      <c r="A15" s="21" t="s">
        <v>88</v>
      </c>
      <c r="B15" s="21" t="s">
        <v>215</v>
      </c>
      <c r="C15" s="21" t="s">
        <v>277</v>
      </c>
      <c r="D15" s="21" t="s">
        <v>278</v>
      </c>
      <c r="E15" s="21" t="s">
        <v>109</v>
      </c>
      <c r="F15" s="21" t="s">
        <v>59</v>
      </c>
    </row>
    <row r="16" customFormat="false" ht="15" hidden="false" customHeight="false" outlineLevel="0" collapsed="false">
      <c r="A16" s="21" t="s">
        <v>88</v>
      </c>
      <c r="B16" s="21" t="s">
        <v>205</v>
      </c>
      <c r="C16" s="21" t="s">
        <v>279</v>
      </c>
      <c r="D16" s="21" t="s">
        <v>280</v>
      </c>
      <c r="E16" s="21" t="s">
        <v>108</v>
      </c>
      <c r="F16" s="21" t="s">
        <v>68</v>
      </c>
    </row>
    <row r="17" customFormat="false" ht="15" hidden="false" customHeight="false" outlineLevel="0" collapsed="false">
      <c r="A17" s="21" t="s">
        <v>88</v>
      </c>
      <c r="B17" s="21" t="s">
        <v>220</v>
      </c>
      <c r="C17" s="21" t="s">
        <v>281</v>
      </c>
      <c r="D17" s="21" t="s">
        <v>282</v>
      </c>
      <c r="E17" s="21" t="s">
        <v>108</v>
      </c>
      <c r="F17" s="21" t="s">
        <v>60</v>
      </c>
    </row>
    <row r="18" customFormat="false" ht="15" hidden="false" customHeight="false" outlineLevel="0" collapsed="false">
      <c r="A18" s="21" t="s">
        <v>92</v>
      </c>
      <c r="B18" s="21" t="s">
        <v>226</v>
      </c>
      <c r="C18" s="21" t="s">
        <v>283</v>
      </c>
      <c r="D18" s="21" t="s">
        <v>284</v>
      </c>
      <c r="E18" s="21" t="s">
        <v>107</v>
      </c>
      <c r="F18" s="21" t="s">
        <v>62</v>
      </c>
    </row>
    <row r="19" customFormat="false" ht="15" hidden="false" customHeight="false" outlineLevel="0" collapsed="false">
      <c r="A19" s="21" t="s">
        <v>92</v>
      </c>
      <c r="B19" s="21" t="s">
        <v>221</v>
      </c>
      <c r="C19" s="21" t="s">
        <v>285</v>
      </c>
      <c r="D19" s="21" t="s">
        <v>284</v>
      </c>
      <c r="E19" s="21" t="s">
        <v>108</v>
      </c>
      <c r="F19" s="21" t="s">
        <v>62</v>
      </c>
    </row>
    <row r="20" customFormat="false" ht="15" hidden="false" customHeight="false" outlineLevel="0" collapsed="false">
      <c r="A20" s="21" t="s">
        <v>92</v>
      </c>
      <c r="B20" s="21" t="s">
        <v>224</v>
      </c>
      <c r="C20" s="21" t="s">
        <v>286</v>
      </c>
      <c r="D20" s="21" t="s">
        <v>287</v>
      </c>
      <c r="E20" s="21" t="s">
        <v>108</v>
      </c>
      <c r="F20" s="21" t="s">
        <v>73</v>
      </c>
    </row>
    <row r="21" customFormat="false" ht="15" hidden="false" customHeight="false" outlineLevel="0" collapsed="false">
      <c r="A21" s="21" t="s">
        <v>92</v>
      </c>
      <c r="B21" s="21" t="s">
        <v>228</v>
      </c>
      <c r="C21" s="21" t="s">
        <v>288</v>
      </c>
      <c r="D21" s="21" t="s">
        <v>287</v>
      </c>
      <c r="E21" s="21" t="s">
        <v>109</v>
      </c>
      <c r="F21" s="21" t="s">
        <v>73</v>
      </c>
    </row>
    <row r="22" customFormat="false" ht="15" hidden="false" customHeight="false" outlineLevel="0" collapsed="false">
      <c r="A22" s="21" t="s">
        <v>92</v>
      </c>
      <c r="B22" s="21" t="s">
        <v>218</v>
      </c>
      <c r="C22" s="21" t="s">
        <v>289</v>
      </c>
      <c r="D22" s="21" t="s">
        <v>290</v>
      </c>
      <c r="E22" s="21" t="s">
        <v>108</v>
      </c>
      <c r="F22" s="21" t="s">
        <v>65</v>
      </c>
    </row>
    <row r="23" customFormat="false" ht="15" hidden="false" customHeight="false" outlineLevel="0" collapsed="false">
      <c r="A23" s="21" t="s">
        <v>92</v>
      </c>
      <c r="B23" s="21" t="s">
        <v>217</v>
      </c>
      <c r="C23" s="21" t="s">
        <v>291</v>
      </c>
      <c r="D23" s="21" t="s">
        <v>290</v>
      </c>
      <c r="E23" s="21" t="s">
        <v>109</v>
      </c>
      <c r="F23" s="21" t="s">
        <v>65</v>
      </c>
    </row>
    <row r="24" customFormat="false" ht="15" hidden="false" customHeight="false" outlineLevel="0" collapsed="false">
      <c r="A24" s="21" t="s">
        <v>92</v>
      </c>
      <c r="B24" s="21" t="s">
        <v>225</v>
      </c>
      <c r="C24" s="21" t="s">
        <v>292</v>
      </c>
      <c r="D24" s="21" t="s">
        <v>280</v>
      </c>
      <c r="E24" s="21" t="s">
        <v>108</v>
      </c>
      <c r="F24" s="21" t="s">
        <v>68</v>
      </c>
    </row>
  </sheetData>
  <dataValidations count="1">
    <dataValidation allowBlank="false" errorStyle="stop" operator="between" showDropDown="false" showErrorMessage="false" showInputMessage="false" sqref="E2:E24" type="list">
      <formula1>"Kritik,Major,Minör"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2026-09-17T12:54:52Z</dcterms:created>
  <dc:creator>openpyxl</dc:creator>
  <dc:description/>
  <dc:language>en-US</dc:language>
  <cp:lastModifiedBy/>
  <dcterms:modified xsi:type="dcterms:W3CDTF">2026-09-17T12:54:54Z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